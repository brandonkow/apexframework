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brewtwmy-my.sharepoint.com/personal/brandon_kow_cbre-wtw_com_my/Documents/Documents/Personal File/Explore Residential Case/"/>
    </mc:Choice>
  </mc:AlternateContent>
  <xr:revisionPtr revIDLastSave="11" documentId="13_ncr:1_{AC25596C-4E44-4437-A7F2-A7E2533D3F26}" xr6:coauthVersionLast="47" xr6:coauthVersionMax="47" xr10:uidLastSave="{6FC1B906-EDCC-47C3-BDBB-BFA09587D7A2}"/>
  <bookViews>
    <workbookView xWindow="-120" yWindow="-120" windowWidth="29040" windowHeight="15720" activeTab="1" xr2:uid="{00000000-000D-0000-FFFF-FFFF00000000}"/>
  </bookViews>
  <sheets>
    <sheet name="Summary" sheetId="1" r:id="rId1"/>
    <sheet name="Residential DCF (Buyer)" sheetId="2" r:id="rId2"/>
    <sheet name="Comparison Approach" sheetId="3" r:id="rId3"/>
    <sheet name="Sources &amp; Guidanc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K67" i="2"/>
  <c r="F39" i="2"/>
  <c r="F40" i="2" s="1"/>
  <c r="B53" i="4"/>
  <c r="B52" i="4"/>
  <c r="E52" i="4" s="1"/>
  <c r="C51" i="4"/>
  <c r="C49" i="4"/>
  <c r="B49" i="4"/>
  <c r="B55" i="3"/>
  <c r="B54" i="3"/>
  <c r="C43" i="3"/>
  <c r="C45" i="3" s="1"/>
  <c r="F42" i="3"/>
  <c r="F43" i="3" s="1"/>
  <c r="F45" i="3" s="1"/>
  <c r="F47" i="3" s="1"/>
  <c r="E42" i="3"/>
  <c r="D42" i="3"/>
  <c r="C42" i="3"/>
  <c r="B28" i="3"/>
  <c r="B27" i="3"/>
  <c r="B26" i="3"/>
  <c r="F23" i="3"/>
  <c r="E23" i="3"/>
  <c r="E43" i="3" s="1"/>
  <c r="E45" i="3" s="1"/>
  <c r="E47" i="3" s="1"/>
  <c r="D23" i="3"/>
  <c r="D43" i="3" s="1"/>
  <c r="D45" i="3" s="1"/>
  <c r="D47" i="3" s="1"/>
  <c r="C23" i="3"/>
  <c r="B22" i="3"/>
  <c r="B20" i="3"/>
  <c r="B19" i="3"/>
  <c r="B18" i="3"/>
  <c r="B11" i="3"/>
  <c r="B8" i="3"/>
  <c r="B7" i="3"/>
  <c r="B6" i="3"/>
  <c r="B5" i="3"/>
  <c r="B4" i="3"/>
  <c r="B3" i="3"/>
  <c r="B79" i="2"/>
  <c r="B78" i="2"/>
  <c r="B77" i="2"/>
  <c r="B76" i="2"/>
  <c r="B75" i="2"/>
  <c r="B74" i="2"/>
  <c r="B82" i="2" s="1"/>
  <c r="J64" i="2"/>
  <c r="J62" i="2"/>
  <c r="I62" i="2"/>
  <c r="I64" i="2" s="1"/>
  <c r="H62" i="2"/>
  <c r="H64" i="2" s="1"/>
  <c r="G62" i="2"/>
  <c r="G64" i="2" s="1"/>
  <c r="F62" i="2"/>
  <c r="F64" i="2" s="1"/>
  <c r="F57" i="2"/>
  <c r="G57" i="2" s="1"/>
  <c r="H57" i="2" s="1"/>
  <c r="I57" i="2" s="1"/>
  <c r="J57" i="2" s="1"/>
  <c r="K57" i="2" s="1"/>
  <c r="H50" i="2"/>
  <c r="I50" i="2" s="1"/>
  <c r="J50" i="2" s="1"/>
  <c r="K50" i="2" s="1"/>
  <c r="G50" i="2"/>
  <c r="F50" i="2"/>
  <c r="F49" i="2"/>
  <c r="G49" i="2" s="1"/>
  <c r="H49" i="2" s="1"/>
  <c r="I49" i="2" s="1"/>
  <c r="J49" i="2" s="1"/>
  <c r="K49" i="2" s="1"/>
  <c r="H48" i="2"/>
  <c r="I48" i="2" s="1"/>
  <c r="J48" i="2" s="1"/>
  <c r="K48" i="2" s="1"/>
  <c r="G48" i="2"/>
  <c r="F48" i="2"/>
  <c r="F43" i="2"/>
  <c r="G43" i="2" s="1"/>
  <c r="H43" i="2" s="1"/>
  <c r="I43" i="2" s="1"/>
  <c r="J43" i="2" s="1"/>
  <c r="K43" i="2" s="1"/>
  <c r="K41" i="2"/>
  <c r="J41" i="2"/>
  <c r="I41" i="2"/>
  <c r="H41" i="2"/>
  <c r="G41" i="2"/>
  <c r="F41" i="2"/>
  <c r="B9" i="2"/>
  <c r="B8" i="2"/>
  <c r="B7" i="2"/>
  <c r="F47" i="2" s="1"/>
  <c r="B6" i="2"/>
  <c r="B5" i="2"/>
  <c r="B4" i="2"/>
  <c r="F25" i="1"/>
  <c r="D25" i="1"/>
  <c r="F22" i="1"/>
  <c r="B34" i="1" s="1"/>
  <c r="D21" i="1"/>
  <c r="D36" i="1" s="1"/>
  <c r="D33" i="1" l="1"/>
  <c r="D34" i="1"/>
  <c r="G39" i="2"/>
  <c r="G40" i="2" s="1"/>
  <c r="G42" i="2" s="1"/>
  <c r="G44" i="2" s="1"/>
  <c r="E49" i="4"/>
  <c r="D49" i="4"/>
  <c r="E90" i="2"/>
  <c r="F91" i="2" s="1"/>
  <c r="B84" i="2"/>
  <c r="B85" i="2" s="1"/>
  <c r="D23" i="1" s="1"/>
  <c r="F42" i="2"/>
  <c r="F44" i="2" s="1"/>
  <c r="B51" i="3"/>
  <c r="B52" i="3" s="1"/>
  <c r="B53" i="3" s="1"/>
  <c r="C47" i="3"/>
  <c r="G47" i="2"/>
  <c r="C34" i="1"/>
  <c r="B80" i="2"/>
  <c r="H39" i="2"/>
  <c r="D52" i="4"/>
  <c r="H40" i="2" l="1"/>
  <c r="I39" i="2"/>
  <c r="J90" i="2"/>
  <c r="F51" i="2"/>
  <c r="F56" i="2"/>
  <c r="F54" i="2"/>
  <c r="F52" i="2"/>
  <c r="F55" i="2"/>
  <c r="F53" i="2"/>
  <c r="G90" i="2"/>
  <c r="H91" i="2" s="1"/>
  <c r="D22" i="1"/>
  <c r="B83" i="2"/>
  <c r="H90" i="2"/>
  <c r="I91" i="2" s="1"/>
  <c r="I90" i="2"/>
  <c r="J91" i="2" s="1"/>
  <c r="G56" i="2"/>
  <c r="G54" i="2"/>
  <c r="G52" i="2"/>
  <c r="G55" i="2"/>
  <c r="G53" i="2"/>
  <c r="G51" i="2"/>
  <c r="H47" i="2"/>
  <c r="F90" i="2"/>
  <c r="G91" i="2" s="1"/>
  <c r="G58" i="2" l="1"/>
  <c r="G60" i="2" s="1"/>
  <c r="G65" i="2" s="1"/>
  <c r="F58" i="2"/>
  <c r="F60" i="2" s="1"/>
  <c r="I40" i="2"/>
  <c r="J39" i="2"/>
  <c r="I47" i="2"/>
  <c r="B24" i="1"/>
  <c r="E94" i="2"/>
  <c r="H42" i="2"/>
  <c r="H44" i="2" s="1"/>
  <c r="G92" i="2" l="1"/>
  <c r="G94" i="2" s="1"/>
  <c r="G61" i="2"/>
  <c r="H56" i="2"/>
  <c r="H52" i="2"/>
  <c r="H54" i="2"/>
  <c r="H55" i="2"/>
  <c r="H53" i="2"/>
  <c r="H51" i="2"/>
  <c r="J40" i="2"/>
  <c r="K39" i="2"/>
  <c r="K40" i="2" s="1"/>
  <c r="B23" i="1"/>
  <c r="F92" i="2"/>
  <c r="F94" i="2" s="1"/>
  <c r="B87" i="2"/>
  <c r="D24" i="1" s="1"/>
  <c r="B86" i="2"/>
  <c r="F61" i="2"/>
  <c r="F65" i="2"/>
  <c r="J47" i="2"/>
  <c r="I42" i="2"/>
  <c r="I44" i="2" s="1"/>
  <c r="H58" i="2" l="1"/>
  <c r="H60" i="2" s="1"/>
  <c r="H92" i="2" s="1"/>
  <c r="H94" i="2" s="1"/>
  <c r="H65" i="2"/>
  <c r="K42" i="2"/>
  <c r="K44" i="2" s="1"/>
  <c r="K47" i="2"/>
  <c r="J42" i="2"/>
  <c r="J44" i="2" s="1"/>
  <c r="I56" i="2"/>
  <c r="I54" i="2"/>
  <c r="I52" i="2"/>
  <c r="I55" i="2"/>
  <c r="I53" i="2"/>
  <c r="I51" i="2"/>
  <c r="F23" i="1"/>
  <c r="B51" i="4"/>
  <c r="H61" i="2" l="1"/>
  <c r="J56" i="2"/>
  <c r="J52" i="2"/>
  <c r="J54" i="2"/>
  <c r="J55" i="2"/>
  <c r="J53" i="2"/>
  <c r="J51" i="2"/>
  <c r="K56" i="2"/>
  <c r="K54" i="2"/>
  <c r="K52" i="2"/>
  <c r="K55" i="2"/>
  <c r="K53" i="2"/>
  <c r="K51" i="2"/>
  <c r="I58" i="2"/>
  <c r="I60" i="2" s="1"/>
  <c r="E51" i="4"/>
  <c r="D51" i="4"/>
  <c r="K58" i="2" l="1"/>
  <c r="K60" i="2" s="1"/>
  <c r="K61" i="2" s="1"/>
  <c r="J58" i="2"/>
  <c r="J60" i="2" s="1"/>
  <c r="J92" i="2" s="1"/>
  <c r="J65" i="2"/>
  <c r="I92" i="2"/>
  <c r="I94" i="2" s="1"/>
  <c r="I61" i="2"/>
  <c r="I65" i="2"/>
  <c r="K68" i="2" l="1"/>
  <c r="K69" i="2" s="1"/>
  <c r="J94" i="2"/>
  <c r="B95" i="2"/>
  <c r="F24" i="1" s="1"/>
  <c r="J61" i="2"/>
  <c r="J93" i="2" l="1"/>
  <c r="B69" i="2"/>
  <c r="C53" i="4" l="1"/>
  <c r="B70" i="2"/>
  <c r="B9" i="3"/>
  <c r="B21" i="1"/>
  <c r="B48" i="4"/>
  <c r="B71" i="2"/>
  <c r="E48" i="4" l="1"/>
  <c r="D48" i="4"/>
  <c r="B50" i="4"/>
  <c r="B25" i="1"/>
  <c r="B22" i="1"/>
  <c r="B10" i="3"/>
  <c r="B33" i="1"/>
  <c r="A27" i="1"/>
  <c r="F21" i="1"/>
  <c r="D53" i="4"/>
  <c r="E53" i="4"/>
  <c r="C33" i="1" l="1"/>
  <c r="B36" i="1"/>
  <c r="C36" i="1" s="1"/>
  <c r="E50" i="4"/>
  <c r="E54" i="4" s="1"/>
  <c r="D5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tc={FF2737A4-62A6-0F8D-9EFB-F7EC068B1923}</author>
    <author>tc={FFBDB746-E160-737C-9613-A1AE6CF09F87}</author>
    <author>tc={F4F53595-338D-1C35-6E8C-843475CD05B4}</author>
    <author>tc={C14F396C-9293-3CA9-6582-E8F093214DEB}</author>
    <author>tc={B931E8CD-B3BC-DF6A-37D2-5A801F4A740D}</author>
    <author>tc={0D13491E-2CFA-276F-FDD0-21AAFFDB94BC}</author>
  </authors>
  <commentList>
    <comment ref="E12"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Source item: KPKT Strata Handbook. Replace with the subject JMB/MC-approved monthly maintenance charge.</t>
      </text>
    </comment>
    <comment ref="E13"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Source item: KPKT Strata Handbook. Replace with the subject scheme's actual sinking-fund contribution.</t>
      </text>
    </comment>
    <comment ref="E25"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Benchmark: Bank Negara Malaysia OPR was 2.75% as at 7 May 2026. Enter the buyer's actual bank mortgage rate; OPR is not the mortgage rate.</t>
      </text>
    </comment>
    <comment ref="E2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LHDN notes that rental income is reported net of allowable rental-related expenses. Enter the buyer's applicable marginal rate and obtain tax advice.</t>
      </text>
    </comment>
    <comment ref="E28"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LHDN RPGT rates depend on disposer category and holding period. The illustrative 15% is for a Malaysian citizen disposing in year 5 under the current table.</t>
      </text>
    </comment>
    <comment ref="E30" authorId="5" shapeId="0" xr:uid="{00000000-0006-0000-0100-000006000000}">
      <text>
        <t>[Threaded comment]
Your version of Excel allows you to read this threaded comment; however, any edits to it will get removed if the file is opened in a newer version of Excel. Learn more: https://go.microsoft.com/fwlink/?linkid=870924
Comment:
    Stamp duty applies to relevant property-transfer and financing instruments. Replace with a current solicitor's estimate including any applicable relief.</t>
      </text>
    </comment>
  </commentList>
</comments>
</file>

<file path=xl/sharedStrings.xml><?xml version="1.0" encoding="utf-8"?>
<sst xmlns="http://schemas.openxmlformats.org/spreadsheetml/2006/main" count="811" uniqueCount="426">
  <si>
    <t>Residential High-Rise Investment Summary</t>
  </si>
  <si>
    <t>File Ref.</t>
  </si>
  <si>
    <t>Illustrative buyer template</t>
  </si>
  <si>
    <t>Date of Inspection</t>
  </si>
  <si>
    <t>To be inserted</t>
  </si>
  <si>
    <t>Date of Valuation</t>
  </si>
  <si>
    <t>Purpose of Valuation</t>
  </si>
  <si>
    <t>Individual investment purchase screening</t>
  </si>
  <si>
    <t>Property</t>
  </si>
  <si>
    <t>Type</t>
  </si>
  <si>
    <t>Residential strata apartment / condominium unit</t>
  </si>
  <si>
    <t>Address</t>
  </si>
  <si>
    <t>Penang, Malaysia — replace with subject address</t>
  </si>
  <si>
    <t>Parcel / Title No.</t>
  </si>
  <si>
    <t>Floor Area (sf)</t>
  </si>
  <si>
    <t>Car Parks</t>
  </si>
  <si>
    <t>Tenure</t>
  </si>
  <si>
    <t>Freehold — replace if leasehold</t>
  </si>
  <si>
    <t>Current Occupancy</t>
  </si>
  <si>
    <t>Investment unit — replace with tenancy status</t>
  </si>
  <si>
    <t>Buyer Profile</t>
  </si>
  <si>
    <t>Individual Malaysian citizen (illustrative tax treatment)</t>
  </si>
  <si>
    <t>Model Basis</t>
  </si>
  <si>
    <t>5-year unlevered DCF plus terminal capitalization; separate levered buyer return</t>
  </si>
  <si>
    <t>Currency</t>
  </si>
  <si>
    <t>Malaysian Ringgit (RM)</t>
  </si>
  <si>
    <t>Key Buyer Outputs</t>
  </si>
  <si>
    <t>DCF Value Indication</t>
  </si>
  <si>
    <t>Purchase Price</t>
  </si>
  <si>
    <t>Discount / (Premium) to DCF</t>
  </si>
  <si>
    <t>DCF Value per sf</t>
  </si>
  <si>
    <t>Total Acquisition Cost</t>
  </si>
  <si>
    <t>Comparison Indication</t>
  </si>
  <si>
    <t>Year 1 NOI</t>
  </si>
  <si>
    <t>Annual Debt Service</t>
  </si>
  <si>
    <t>Year 1 DSCR</t>
  </si>
  <si>
    <t>Equity Required</t>
  </si>
  <si>
    <t>Year 1 Cash-on-Cash</t>
  </si>
  <si>
    <t>Levered Equity IRR</t>
  </si>
  <si>
    <t>Terminal PV / DCF Value</t>
  </si>
  <si>
    <t>Minimum DSCR Target</t>
  </si>
  <si>
    <t>Illustrative Hold</t>
  </si>
  <si>
    <t>Market Value / Purchase Comparison</t>
  </si>
  <si>
    <t>Method of Valuation</t>
  </si>
  <si>
    <t>Value Indication</t>
  </si>
  <si>
    <t>Variance to Purchase</t>
  </si>
  <si>
    <t>Income Approach — Residential DCF (Unlevered)</t>
  </si>
  <si>
    <t>Comparison Approach — Adjusted RM/sf</t>
  </si>
  <si>
    <t>Cost Approach</t>
  </si>
  <si>
    <t>Not used for an individual strata unit</t>
  </si>
  <si>
    <t>Selected Screening Indication</t>
  </si>
  <si>
    <t>How to use: replace blue cells with the subject unit's actual purchase price, market rent, JMB/MC charges, insurance, assessment, quit rent, mortgage quote and sale assumptions. DCF value is unlevered; mortgage and buyer tax items are evaluated separately below it. Comparison cells intentionally remain blank until actual verified sale comparables are entered.</t>
  </si>
  <si>
    <t>Residential High-Rise DCF — Individual Buyer</t>
  </si>
  <si>
    <t>Subject Property</t>
  </si>
  <si>
    <t>Property Type</t>
  </si>
  <si>
    <t>Valuation Date</t>
  </si>
  <si>
    <t>Property &amp; DCF Assumptions</t>
  </si>
  <si>
    <t>Owner Costs &amp; Financing</t>
  </si>
  <si>
    <t>Purchase price</t>
  </si>
  <si>
    <t>RM</t>
  </si>
  <si>
    <t>Maintenance/service charge</t>
  </si>
  <si>
    <t>Year 1 monthly market rent</t>
  </si>
  <si>
    <t>RM / month</t>
  </si>
  <si>
    <t>Sinking fund % of maintenance</t>
  </si>
  <si>
    <t>Other monthly income (parking / storage)</t>
  </si>
  <si>
    <t>Annual assessment</t>
  </si>
  <si>
    <t>Year 1 economic occupancy</t>
  </si>
  <si>
    <t>%</t>
  </si>
  <si>
    <t>Annual quit rent</t>
  </si>
  <si>
    <t>Stabilized occupancy</t>
  </si>
  <si>
    <t>Annual unit / landlord insurance</t>
  </si>
  <si>
    <t>Annual occupancy step</t>
  </si>
  <si>
    <t>% points</t>
  </si>
  <si>
    <t>Property management fee</t>
  </si>
  <si>
    <t>Annual rent growth</t>
  </si>
  <si>
    <t>Letting / renewal allowance</t>
  </si>
  <si>
    <t>Annual other-income growth</t>
  </si>
  <si>
    <t>Repairs &amp; maintenance allowance</t>
  </si>
  <si>
    <t>Annual expense inflation</t>
  </si>
  <si>
    <t>Owner-paid utilities / internet</t>
  </si>
  <si>
    <t>DCF discount rate</t>
  </si>
  <si>
    <t>Furnishing / appliance reserve</t>
  </si>
  <si>
    <t>Terminal capitalization rate</t>
  </si>
  <si>
    <t>Miscellaneous / admin</t>
  </si>
  <si>
    <t>Selling costs</t>
  </si>
  <si>
    <t>% of sale value</t>
  </si>
  <si>
    <t>Annual special assessment / capex</t>
  </si>
  <si>
    <t>Holding period</t>
  </si>
  <si>
    <t>years</t>
  </si>
  <si>
    <t>Loan-to-value</t>
  </si>
  <si>
    <t>Months per year</t>
  </si>
  <si>
    <t>months</t>
  </si>
  <si>
    <t>Mortgage interest rate</t>
  </si>
  <si>
    <t>Loan term</t>
  </si>
  <si>
    <t>Buyer marginal income-tax rate</t>
  </si>
  <si>
    <t>Illustrative RPGT rate at end-Year 5</t>
  </si>
  <si>
    <t>Minimum DSCR target</t>
  </si>
  <si>
    <t>MOT stamp duty — solicitor estimate</t>
  </si>
  <si>
    <t>Legal / disbursement / due diligence</t>
  </si>
  <si>
    <t>Loan / valuation fees</t>
  </si>
  <si>
    <t>Initial renovation / furnishing</t>
  </si>
  <si>
    <t>Buyer contingency</t>
  </si>
  <si>
    <t>Reserved</t>
  </si>
  <si>
    <t>Projection — Residential Rental Income and Owner-Cost Logic</t>
  </si>
  <si>
    <t>Cash Flow Item</t>
  </si>
  <si>
    <t>Basis</t>
  </si>
  <si>
    <t>Unit</t>
  </si>
  <si>
    <t>Source / Input</t>
  </si>
  <si>
    <t>Year 1</t>
  </si>
  <si>
    <t>Year 2</t>
  </si>
  <si>
    <t>Year 3</t>
  </si>
  <si>
    <t>Year 4</t>
  </si>
  <si>
    <t>Year 5</t>
  </si>
  <si>
    <t>Year 6 / Terminal</t>
  </si>
  <si>
    <t>Monthly market rent</t>
  </si>
  <si>
    <t>Prior year × growth</t>
  </si>
  <si>
    <t>Buyer rent comparables</t>
  </si>
  <si>
    <t>Gross potential rent</t>
  </si>
  <si>
    <t>Monthly rent × months</t>
  </si>
  <si>
    <t>RM / year</t>
  </si>
  <si>
    <t>Formula</t>
  </si>
  <si>
    <t>Economic occupancy</t>
  </si>
  <si>
    <t>Ramp to stabilized rate</t>
  </si>
  <si>
    <t>Buyer assumption</t>
  </si>
  <si>
    <t>Vacancy &amp; credit loss</t>
  </si>
  <si>
    <t>GPR × (1 − occupancy)</t>
  </si>
  <si>
    <t>Other income</t>
  </si>
  <si>
    <t>Parking / storage</t>
  </si>
  <si>
    <t>(A) EFFECTIVE GROSS INCOME</t>
  </si>
  <si>
    <t>Rent less vacancy plus other income</t>
  </si>
  <si>
    <t>OPERATING EXPENSES</t>
  </si>
  <si>
    <t>Maintenance charge + sinking fund</t>
  </si>
  <si>
    <t>Area × monthly rate × months</t>
  </si>
  <si>
    <t>JMB / MC statement</t>
  </si>
  <si>
    <t>Assessment</t>
  </si>
  <si>
    <t>Annual amount × inflation</t>
  </si>
  <si>
    <t>Local authority bill</t>
  </si>
  <si>
    <t>Quit rent</t>
  </si>
  <si>
    <t>Land office bill</t>
  </si>
  <si>
    <t>Unit / landlord insurance</t>
  </si>
  <si>
    <t>Insurance quote</t>
  </si>
  <si>
    <t>% of EGI</t>
  </si>
  <si>
    <t>Repairs &amp; maintenance</t>
  </si>
  <si>
    <t>Tenancy terms</t>
  </si>
  <si>
    <t>Miscellaneous / administration</t>
  </si>
  <si>
    <t>Special assessment / unit capex</t>
  </si>
  <si>
    <t>JMB / MC / condition</t>
  </si>
  <si>
    <t>(B) TOTAL OPERATING EXPENSES</t>
  </si>
  <si>
    <t>Sum of owner costs</t>
  </si>
  <si>
    <t>(C) NET OPERATING INCOME</t>
  </si>
  <si>
    <t>(A) + (B)</t>
  </si>
  <si>
    <t>NOI Margin</t>
  </si>
  <si>
    <t>NOI / EGI</t>
  </si>
  <si>
    <t>Buyer required unlevered return</t>
  </si>
  <si>
    <t>DCF period</t>
  </si>
  <si>
    <t>End-of-year timing</t>
  </si>
  <si>
    <t>PV factor</t>
  </si>
  <si>
    <t>1 / (1 + discount rate)^period</t>
  </si>
  <si>
    <t>x</t>
  </si>
  <si>
    <t>PV of Net Operating Income</t>
  </si>
  <si>
    <t>NOI × PV factor</t>
  </si>
  <si>
    <t>Year 6 NOI / terminal cap</t>
  </si>
  <si>
    <t>Net terminal proceeds</t>
  </si>
  <si>
    <t>Gross terminal value less selling costs</t>
  </si>
  <si>
    <t>DCF INDICATED VALUE</t>
  </si>
  <si>
    <t>RM / sf</t>
  </si>
  <si>
    <t>Buyer Acquisition, Financing &amp; Levered Equity Return</t>
  </si>
  <si>
    <t>MOT stamp duty estimate</t>
  </si>
  <si>
    <t>TOTAL ACQUISITION COST</t>
  </si>
  <si>
    <t>Loan amount</t>
  </si>
  <si>
    <t>Equity required</t>
  </si>
  <si>
    <t>Monthly debt service</t>
  </si>
  <si>
    <t>Annual debt service</t>
  </si>
  <si>
    <t>Year 1 cash-on-cash (pre-tax)</t>
  </si>
  <si>
    <t>Year 0</t>
  </si>
  <si>
    <t>End mortgage balance</t>
  </si>
  <si>
    <t>Amortizing balance</t>
  </si>
  <si>
    <t>Approx. interest expense</t>
  </si>
  <si>
    <t>Opening balance × rate</t>
  </si>
  <si>
    <t>Tax estimate only</t>
  </si>
  <si>
    <t>Indicative rental income tax</t>
  </si>
  <si>
    <t>MAX(0, NOI − interest) × marginal rate</t>
  </si>
  <si>
    <t>Simplified; confirm allowable expenses</t>
  </si>
  <si>
    <t>Indicative RPGT on exit</t>
  </si>
  <si>
    <t>Chargeable gain proxy × rate</t>
  </si>
  <si>
    <t>Simplified; confirm with tax adviser</t>
  </si>
  <si>
    <t>Levered equity cash flow</t>
  </si>
  <si>
    <t>Equity / NOI / debt / sale</t>
  </si>
  <si>
    <t>LEVERED EQUITY IRR</t>
  </si>
  <si>
    <t>Model note</t>
  </si>
  <si>
    <t>Tax lines are screening provisions, not a tax return</t>
  </si>
  <si>
    <t>Interpretation: the DCF indication values the property before financing and personal income tax. The buyer section then subtracts acquisition costs, mortgage payments and simplified tax provisions to estimate equity cash flows. Replace all blue inputs with actual documents and quotes; do not treat the illustration as a market valuation, mortgage offer, or tax computation.</t>
  </si>
  <si>
    <t>Comparison Approach — Residential High-Rise Unit</t>
  </si>
  <si>
    <t>DCF Value</t>
  </si>
  <si>
    <t>Comparable Evidence Status</t>
  </si>
  <si>
    <t>Enter at least three verified transactions</t>
  </si>
  <si>
    <t>Comparable Sales — Enter Verified Transactions</t>
  </si>
  <si>
    <t>Comparable Item</t>
  </si>
  <si>
    <t>Comparable 1</t>
  </si>
  <si>
    <t>Comparable 2</t>
  </si>
  <si>
    <t>Comparable 3</t>
  </si>
  <si>
    <t>Comparable 4</t>
  </si>
  <si>
    <t>Source / URL</t>
  </si>
  <si>
    <t>Subject documents</t>
  </si>
  <si>
    <t>Project / Building</t>
  </si>
  <si>
    <t>Address / Location</t>
  </si>
  <si>
    <t>Transaction Date</t>
  </si>
  <si>
    <t>Sale Price</t>
  </si>
  <si>
    <t>Raw RM per sf</t>
  </si>
  <si>
    <t>Floor / View</t>
  </si>
  <si>
    <t>To be inspected</t>
  </si>
  <si>
    <t>Condition / Renovation</t>
  </si>
  <si>
    <t>Tenure / Remaining Term</t>
  </si>
  <si>
    <t>Maintenance Charge (RM/psf/month)</t>
  </si>
  <si>
    <t>Adjustments to Comparable RM per sf</t>
  </si>
  <si>
    <t>Adjustment Item</t>
  </si>
  <si>
    <t>Time / Market Conditions</t>
  </si>
  <si>
    <t>Benchmark</t>
  </si>
  <si>
    <t>Location &amp; Accessibility</t>
  </si>
  <si>
    <t>Building Age / Condition</t>
  </si>
  <si>
    <t>Floor Level / View / Orientation</t>
  </si>
  <si>
    <t>Unit Size / Layout Efficiency</t>
  </si>
  <si>
    <t>Facilities / Management Quality</t>
  </si>
  <si>
    <t>Car Park Entitlement</t>
  </si>
  <si>
    <t>Tenure / Remaining Lease</t>
  </si>
  <si>
    <t>Condition / Furnishing</t>
  </si>
  <si>
    <t>Maintenance Burden</t>
  </si>
  <si>
    <t>TOTAL ADJUSTMENT</t>
  </si>
  <si>
    <t>Adjusted RM per sf</t>
  </si>
  <si>
    <t>Comparable Included?</t>
  </si>
  <si>
    <t>Weight</t>
  </si>
  <si>
    <t>Weighted RM per sf</t>
  </si>
  <si>
    <t>Total included weight</t>
  </si>
  <si>
    <t>Weighted adjusted RM per sf</t>
  </si>
  <si>
    <t>INDICATED COMPARISON VALUE</t>
  </si>
  <si>
    <t>Difference vs DCF</t>
  </si>
  <si>
    <t>Evidence Check</t>
  </si>
  <si>
    <t>Use arm's-length completed transactions from the same or genuinely comparable projects. Verify transaction date, floor area, car park, tenure, condition and source. Do not populate the comparison indication from asking prices unless clearly labeled and adjusted for negotiation risk.</t>
  </si>
  <si>
    <t>Residential High-Rise DCF — Sources, Translation Map &amp; Checks</t>
  </si>
  <si>
    <t>This workbook adapts the Holiday Inn hotel profit-method template into an individual buyer model for one residential high-rise unit. The core linkage remains income → owner operating expenses → NOI → discounted forecast NOI → terminal value. Financing and personal tax are shown separately because they affect the buyer's equity return, not the unlevered property value.</t>
  </si>
  <si>
    <t>Hotel-to-Residential Translation Map</t>
  </si>
  <si>
    <t>Original Hotel Item</t>
  </si>
  <si>
    <t>Residential Replacement</t>
  </si>
  <si>
    <t>Keep / Remove / Add</t>
  </si>
  <si>
    <t>Formula Treatment</t>
  </si>
  <si>
    <t>Why It Matters</t>
  </si>
  <si>
    <t>Where Used</t>
  </si>
  <si>
    <t>Total rooms</t>
  </si>
  <si>
    <t>One subject strata unit</t>
  </si>
  <si>
    <t>Change</t>
  </si>
  <si>
    <t>Unit count becomes 1; floor area drives value per sf and charges</t>
  </si>
  <si>
    <t>An individual buys one parcel, not a hotel room inventory</t>
  </si>
  <si>
    <t>Summary / DCF</t>
  </si>
  <si>
    <t>Average room rate (ARR)</t>
  </si>
  <si>
    <t>Monthly rent × 12</t>
  </si>
  <si>
    <t>Primary recurring income driver</t>
  </si>
  <si>
    <t>DCF rows 39–40</t>
  </si>
  <si>
    <t>Occupancy rate</t>
  </si>
  <si>
    <t>GPR × occupancy; vacancy shown separately</t>
  </si>
  <si>
    <t>Captures vacancy and credit loss</t>
  </si>
  <si>
    <t>DCF rows 41–42</t>
  </si>
  <si>
    <t>RevPAR</t>
  </si>
  <si>
    <t>Effective rent after vacancy</t>
  </si>
  <si>
    <t>Gross rent less vacancy</t>
  </si>
  <si>
    <t>Residential equivalent of utilized room income</t>
  </si>
  <si>
    <t>DCF row 44</t>
  </si>
  <si>
    <t>Food &amp; beverage revenue</t>
  </si>
  <si>
    <t>Remove</t>
  </si>
  <si>
    <t>No formula</t>
  </si>
  <si>
    <t>Not earned by a single unit owner</t>
  </si>
  <si>
    <t>Not used</t>
  </si>
  <si>
    <t>Other operating departments</t>
  </si>
  <si>
    <t>Parking / storage income</t>
  </si>
  <si>
    <t>Monthly ancillary income × 12</t>
  </si>
  <si>
    <t>Captures owner-controlled side income only</t>
  </si>
  <si>
    <t>DCF row 43</t>
  </si>
  <si>
    <t>Departmental expenses</t>
  </si>
  <si>
    <t>Owner operating expenses</t>
  </si>
  <si>
    <t>Actual or percentage-based owner costs</t>
  </si>
  <si>
    <t>Condo expenses are not hotel department costs</t>
  </si>
  <si>
    <t>DCF rows 47–58</t>
  </si>
  <si>
    <t>Undistributed expenses</t>
  </si>
  <si>
    <t>Management, letting, repairs and utilities</t>
  </si>
  <si>
    <t>% of effective gross income</t>
  </si>
  <si>
    <t>Reflects owner-paid recurring costs</t>
  </si>
  <si>
    <t>DCF rows 51–56</t>
  </si>
  <si>
    <t>Quit rent / assessment / insurance</t>
  </si>
  <si>
    <t>Retain at unit level</t>
  </si>
  <si>
    <t>Keep</t>
  </si>
  <si>
    <t>Annual costs grown by expense inflation</t>
  </si>
  <si>
    <t>Direct owner obligations remain relevant</t>
  </si>
  <si>
    <t>DCF rows 48–50</t>
  </si>
  <si>
    <t>Management fee</t>
  </si>
  <si>
    <t>Residential property management fee</t>
  </si>
  <si>
    <t>Applies when outsourced to an agent</t>
  </si>
  <si>
    <t>DCF row 51</t>
  </si>
  <si>
    <t>Reserve for replacement</t>
  </si>
  <si>
    <t>Furniture, appliances and unit finishes wear out</t>
  </si>
  <si>
    <t>DCF row 55</t>
  </si>
  <si>
    <t>Hotel capex</t>
  </si>
  <si>
    <t>Initial renovation + special assessment / unit capex</t>
  </si>
  <si>
    <t>Initial cash outlay plus annual capex allowance</t>
  </si>
  <si>
    <t>A buyer may need upfront fit-out and irregular strata levies</t>
  </si>
  <si>
    <t>DCF rows 57, 78</t>
  </si>
  <si>
    <t>NOI</t>
  </si>
  <si>
    <t>Residential NOI before financing and personal tax</t>
  </si>
  <si>
    <t>Effective gross income plus operating expenses</t>
  </si>
  <si>
    <t>Separates property economics from buyer financing</t>
  </si>
  <si>
    <t>DCF row 60</t>
  </si>
  <si>
    <t>Years' purchase at terminal rate</t>
  </si>
  <si>
    <t>Terminal capitalization</t>
  </si>
  <si>
    <t>Year 6 NOI ÷ terminal cap rate</t>
  </si>
  <si>
    <t>Same capitalization logic as source template</t>
  </si>
  <si>
    <t>DCF rows 67–69</t>
  </si>
  <si>
    <t>PV at discount rate</t>
  </si>
  <si>
    <t>Buyer unlevered discount rate</t>
  </si>
  <si>
    <t>NOI ÷ (1 + rate)^year</t>
  </si>
  <si>
    <t>Same 5-year DCF logic as source template</t>
  </si>
  <si>
    <t>DCF rows 62–65</t>
  </si>
  <si>
    <t>Market value per room</t>
  </si>
  <si>
    <t>DCF value per sf</t>
  </si>
  <si>
    <t>DCF indication ÷ subject floor area</t>
  </si>
  <si>
    <t>Residential transactions are commonly compared by RM/sf</t>
  </si>
  <si>
    <t>DCF row 70</t>
  </si>
  <si>
    <t>Additional Individual-Buyer Items Added</t>
  </si>
  <si>
    <t>Added Item</t>
  </si>
  <si>
    <t>Model Location</t>
  </si>
  <si>
    <t>Treatment</t>
  </si>
  <si>
    <t>User Action</t>
  </si>
  <si>
    <t>Key Risk Addressed</t>
  </si>
  <si>
    <t>Source Alias</t>
  </si>
  <si>
    <t>Maintenance charge and sinking fund</t>
  </si>
  <si>
    <t>DCF row 47</t>
  </si>
  <si>
    <t>Recurring owner cost</t>
  </si>
  <si>
    <t>Use current JMB/MC statement and AGM budget</t>
  </si>
  <si>
    <t>Understated strata carrying cost</t>
  </si>
  <si>
    <t>KPKT Strata Handbook</t>
  </si>
  <si>
    <t>MOT stamp duty, legal and due diligence</t>
  </si>
  <si>
    <t>DCF rows 75–77</t>
  </si>
  <si>
    <t>Initial acquisition cash outflow</t>
  </si>
  <si>
    <t>Use solicitor's current written quote</t>
  </si>
  <si>
    <t>Understated equity requirement</t>
  </si>
  <si>
    <t>LHDN Stamp Duty</t>
  </si>
  <si>
    <t>Mortgage debt service and amortization</t>
  </si>
  <si>
    <t>DCF rows 82–95</t>
  </si>
  <si>
    <t>Levered equity analysis only</t>
  </si>
  <si>
    <t>Use binding bank quote, not OPR alone</t>
  </si>
  <si>
    <t>Affordability and refinancing risk</t>
  </si>
  <si>
    <t>BNM OPR</t>
  </si>
  <si>
    <t>Rental income tax provision</t>
  </si>
  <si>
    <t>DCF rows 92–94</t>
  </si>
  <si>
    <t>Simplified screening estimate</t>
  </si>
  <si>
    <t>Set buyer marginal rate and confirm allowable expenses</t>
  </si>
  <si>
    <t>After-tax cash-flow overstatement</t>
  </si>
  <si>
    <t>LHDN Rental FAQ</t>
  </si>
  <si>
    <t>RPGT and selling costs</t>
  </si>
  <si>
    <t>DCF rows 68 and 93–94</t>
  </si>
  <si>
    <t>Exit deductions</t>
  </si>
  <si>
    <t>Match citizenship and actual holding period</t>
  </si>
  <si>
    <t>Exit proceeds overstatement</t>
  </si>
  <si>
    <t>LHDN RPGT</t>
  </si>
  <si>
    <t>Vacancy and credit loss</t>
  </si>
  <si>
    <t>Explicit utilization deduction</t>
  </si>
  <si>
    <t>Base on verified leasing evidence</t>
  </si>
  <si>
    <t>Gross rent overstatement</t>
  </si>
  <si>
    <t>Buyer evidence</t>
  </si>
  <si>
    <t>Recurring reserve</t>
  </si>
  <si>
    <t>Estimate from condition and replacement cycle</t>
  </si>
  <si>
    <t>Deferred capex</t>
  </si>
  <si>
    <t>Comparable sale adjustments</t>
  </si>
  <si>
    <t>Comparison Approach</t>
  </si>
  <si>
    <t>Separate corroboration</t>
  </si>
  <si>
    <t>Enter at least three verified completed transactions</t>
  </si>
  <si>
    <t>DCF assumption risk</t>
  </si>
  <si>
    <t>Transaction evidence</t>
  </si>
  <si>
    <t>Official Web Sources Used for Item Selection</t>
  </si>
  <si>
    <t>Authority</t>
  </si>
  <si>
    <t>What It Supports</t>
  </si>
  <si>
    <t>As-of / Accessed</t>
  </si>
  <si>
    <t>URL</t>
  </si>
  <si>
    <t>Model Caution</t>
  </si>
  <si>
    <t>Kementerian Perumahan dan Kerajaan Tempatan</t>
  </si>
  <si>
    <t>Maintenance charges, insurance-related common expenses and sinking fund / capital uses</t>
  </si>
  <si>
    <t>Accessed 17 Jul 2026</t>
  </si>
  <si>
    <t>https://www.kpkt.gov.my/kpkt/resources/user_1/PROGRAM%20KPKT/2020_STRATA/GP/Strata_Handbook_2.0.pdf</t>
  </si>
  <si>
    <t>Use the subject JMB/MC's actual approved charges</t>
  </si>
  <si>
    <t>Lembaga Hasil Dalam Negeri Malaysia</t>
  </si>
  <si>
    <t>Rental income is reported net of allowable rental-related expenses</t>
  </si>
  <si>
    <t>https://www.hasil.gov.my/en/individual/others/frequently-asked-question-individual/</t>
  </si>
  <si>
    <t>Confirm deductibility for the buyer's facts</t>
  </si>
  <si>
    <t>Property transfer, tenancy and financing instruments may attract stamp duty</t>
  </si>
  <si>
    <t>https://www.hasil.gov.my/en/stamp-duty/</t>
  </si>
  <si>
    <t>Use a current solicitor's quote and applicable reliefs</t>
  </si>
  <si>
    <t>RPGT rates vary by disposer category and holding period; Malaysian citizens are shown at 15% in year 5 and 0% from year 6 under current table</t>
  </si>
  <si>
    <t>https://www.hasil.gov.my/en/rpgt/real-property-gains-tax-rpgt-rates</t>
  </si>
  <si>
    <t>Model uses a simplified chargeable-gain proxy</t>
  </si>
  <si>
    <t>Bank Negara Malaysia Financial Markets</t>
  </si>
  <si>
    <t>Policy rate was 2.75% as at 7 May 2026; use only as a benchmark for mortgage quote reasonableness</t>
  </si>
  <si>
    <t>7 May 2026 / accessed 17 Jul 2026</t>
  </si>
  <si>
    <t>https://financialmarkets.bnm.gov.my/monetary-policy-operations</t>
  </si>
  <si>
    <t>Mortgage pricing includes bank spread and borrower-specific terms</t>
  </si>
  <si>
    <t>Model Checks</t>
  </si>
  <si>
    <t>Check</t>
  </si>
  <si>
    <t>Actual</t>
  </si>
  <si>
    <t>Expected</t>
  </si>
  <si>
    <t>Difference / Count</t>
  </si>
  <si>
    <t>Status</t>
  </si>
  <si>
    <t>Fix Hint</t>
  </si>
  <si>
    <t>DCF indication is positive</t>
  </si>
  <si>
    <t>&gt; 0</t>
  </si>
  <si>
    <t>Review rent, vacancy, expenses and terminal cap</t>
  </si>
  <si>
    <t>Discount rate exceeds terminal cap rate</t>
  </si>
  <si>
    <t>Review long-term growth and risk assumptions</t>
  </si>
  <si>
    <t>Terminal PV concentration</t>
  </si>
  <si>
    <t>Long-term value is too dominant; stress terminal cap</t>
  </si>
  <si>
    <t>Reduce leverage / price or improve sustainable NOI</t>
  </si>
  <si>
    <t>Comparable sale count</t>
  </si>
  <si>
    <t>≥ 3</t>
  </si>
  <si>
    <t>Enter verified completed transactions</t>
  </si>
  <si>
    <t>Purchase price vs DCF</t>
  </si>
  <si>
    <t>Review price, rent and required return</t>
  </si>
  <si>
    <t>OVERALL SCREEN</t>
  </si>
  <si>
    <t>All core checks OK</t>
  </si>
  <si>
    <t>Resolve REVIEW / INPUT NEEDED items before relying on output</t>
  </si>
  <si>
    <t>Important: this is an illustrative decision-support template, not a valuation report, investment recommendation, mortgage offer, legal opinion or tax computation. Market rent, comparables, strata liabilities, title restrictions, special assessments, financing terms and taxes must be verified for the actual unit and buyer.</t>
  </si>
  <si>
    <t xml:space="preserve">Sungai Jawi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</si>
</sst>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d\ mmm\ yyyy"/>
    <numFmt numFmtId="165" formatCode="&quot;RM &quot;#,##0;[Red]\(&quot;RM &quot;#,##0\);\-"/>
    <numFmt numFmtId="166" formatCode="0.0%;[Red]\(0.0%\);\-"/>
    <numFmt numFmtId="167" formatCode="0.00\x;[Red]\(0.00\x\);\-"/>
    <numFmt numFmtId="168" formatCode="0\ &quot;years&quot;"/>
    <numFmt numFmtId="169" formatCode="&quot;RM &quot;#,##0.00;[Red]\(&quot;RM &quot;#,##0.00\);\-"/>
    <numFmt numFmtId="170" formatCode="0.0"/>
    <numFmt numFmtId="171" formatCode="0.0000"/>
  </numFmts>
  <fonts count="17">
    <font>
      <sz val="11"/>
      <name val="Carlito"/>
    </font>
    <font>
      <b/>
      <sz val="10"/>
      <color rgb="FFFFFFFF"/>
      <name val="Arial"/>
    </font>
    <font>
      <sz val="10"/>
      <name val="Arial"/>
    </font>
    <font>
      <b/>
      <sz val="10"/>
      <name val="Arial"/>
    </font>
    <font>
      <sz val="10"/>
      <color rgb="FF0000FF"/>
      <name val="Arial"/>
    </font>
    <font>
      <sz val="10"/>
      <color rgb="FF008000"/>
      <name val="Arial"/>
    </font>
    <font>
      <b/>
      <sz val="10"/>
      <color rgb="FF008000"/>
      <name val="Arial"/>
    </font>
    <font>
      <b/>
      <sz val="10"/>
      <color rgb="FFC00000"/>
      <name val="Arial"/>
    </font>
    <font>
      <i/>
      <sz val="10"/>
      <color rgb="FF404040"/>
      <name val="Arial"/>
    </font>
    <font>
      <b/>
      <sz val="9"/>
      <color rgb="FFFFFFFF"/>
      <name val="Arial"/>
    </font>
    <font>
      <sz val="9"/>
      <name val="Arial"/>
    </font>
    <font>
      <b/>
      <sz val="9"/>
      <name val="Arial"/>
    </font>
    <font>
      <sz val="9"/>
      <color rgb="FF008000"/>
      <name val="Arial"/>
    </font>
    <font>
      <sz val="9"/>
      <color rgb="FF0000FF"/>
      <name val="Arial"/>
    </font>
    <font>
      <b/>
      <sz val="9"/>
      <color rgb="FF000000"/>
      <name val="Arial"/>
    </font>
    <font>
      <i/>
      <sz val="9"/>
      <color rgb="FF404040"/>
      <name val="Arial"/>
    </font>
    <font>
      <b/>
      <sz val="9"/>
      <color rgb="FFC00000"/>
      <name val="Arial"/>
    </font>
  </fonts>
  <fills count="9">
    <fill>
      <patternFill patternType="none"/>
    </fill>
    <fill>
      <patternFill patternType="gray125"/>
    </fill>
    <fill>
      <patternFill patternType="solid">
        <fgColor rgb="FF004C3F"/>
      </patternFill>
    </fill>
    <fill>
      <patternFill patternType="solid">
        <fgColor rgb="FFFFF200"/>
      </patternFill>
    </fill>
    <fill>
      <patternFill patternType="solid">
        <fgColor rgb="FFFFF2CC"/>
      </patternFill>
    </fill>
    <fill>
      <patternFill patternType="solid">
        <fgColor rgb="FFF8CBAD"/>
      </patternFill>
    </fill>
    <fill>
      <patternFill patternType="solid">
        <fgColor rgb="FFE2F0D9"/>
      </patternFill>
    </fill>
    <fill>
      <patternFill patternType="solid">
        <fgColor rgb="FFF3F4F6"/>
      </patternFill>
    </fill>
    <fill>
      <patternFill patternType="solid">
        <fgColor rgb="FFD9E7F4"/>
      </patternFill>
    </fill>
  </fills>
  <borders count="3">
    <border>
      <left/>
      <right/>
      <top/>
      <bottom/>
      <diagonal/>
    </border>
    <border>
      <left style="thin">
        <color rgb="FF7F7F7F"/>
      </left>
      <right style="thin">
        <color rgb="FF7F7F7F"/>
      </right>
      <top style="thin">
        <color rgb="FF7F7F7F"/>
      </top>
      <bottom style="thin">
        <color rgb="FF7F7F7F"/>
      </bottom>
      <diagonal/>
    </border>
    <border>
      <left/>
      <right/>
      <top/>
      <bottom style="medium">
        <color rgb="FF000000"/>
      </bottom>
      <diagonal/>
    </border>
  </borders>
  <cellStyleXfs count="1">
    <xf numFmtId="0" fontId="0" fillId="0" borderId="0"/>
  </cellStyleXfs>
  <cellXfs count="83">
    <xf numFmtId="0" fontId="0" fillId="0" borderId="0" xfId="0"/>
    <xf numFmtId="0" fontId="2" fillId="0" borderId="0" xfId="0" applyFont="1"/>
    <xf numFmtId="0" fontId="2" fillId="0" borderId="2" xfId="0" applyFont="1" applyBorder="1"/>
    <xf numFmtId="0" fontId="3" fillId="0" borderId="0" xfId="0" applyFont="1"/>
    <xf numFmtId="0" fontId="4" fillId="4" borderId="0" xfId="0" applyFont="1" applyFill="1"/>
    <xf numFmtId="0" fontId="3" fillId="3" borderId="0" xfId="0" applyFont="1" applyFill="1"/>
    <xf numFmtId="164" fontId="4" fillId="4" borderId="0" xfId="0" applyNumberFormat="1" applyFont="1" applyFill="1"/>
    <xf numFmtId="3" fontId="4" fillId="4" borderId="0" xfId="0" applyNumberFormat="1" applyFont="1" applyFill="1"/>
    <xf numFmtId="0" fontId="3" fillId="0" borderId="1" xfId="0" applyFont="1" applyBorder="1" applyAlignment="1">
      <alignment wrapText="1"/>
    </xf>
    <xf numFmtId="165" fontId="5" fillId="0" borderId="1" xfId="0" applyNumberFormat="1" applyFont="1" applyBorder="1" applyAlignment="1">
      <alignment wrapText="1"/>
    </xf>
    <xf numFmtId="0" fontId="6" fillId="0" borderId="1" xfId="0" applyFont="1" applyBorder="1" applyAlignment="1">
      <alignment wrapText="1"/>
    </xf>
    <xf numFmtId="166" fontId="5" fillId="0" borderId="1" xfId="0" applyNumberFormat="1" applyFont="1" applyBorder="1" applyAlignment="1">
      <alignment wrapText="1"/>
    </xf>
    <xf numFmtId="167" fontId="5" fillId="0" borderId="1" xfId="0" applyNumberFormat="1" applyFont="1" applyBorder="1" applyAlignment="1">
      <alignment wrapText="1"/>
    </xf>
    <xf numFmtId="168" fontId="5" fillId="0" borderId="1" xfId="0" applyNumberFormat="1" applyFont="1" applyBorder="1" applyAlignment="1">
      <alignment wrapText="1"/>
    </xf>
    <xf numFmtId="0" fontId="1" fillId="2" borderId="1" xfId="0" applyFont="1" applyFill="1" applyBorder="1"/>
    <xf numFmtId="0" fontId="2" fillId="3" borderId="1" xfId="0" applyFont="1" applyFill="1" applyBorder="1" applyAlignment="1">
      <alignment wrapText="1"/>
    </xf>
    <xf numFmtId="165" fontId="2" fillId="3" borderId="1" xfId="0" applyNumberFormat="1" applyFont="1" applyFill="1" applyBorder="1"/>
    <xf numFmtId="166" fontId="2" fillId="3" borderId="1" xfId="0" applyNumberFormat="1" applyFont="1" applyFill="1" applyBorder="1"/>
    <xf numFmtId="0" fontId="2" fillId="0" borderId="1" xfId="0" applyFont="1" applyBorder="1" applyAlignment="1">
      <alignment wrapText="1"/>
    </xf>
    <xf numFmtId="165" fontId="2" fillId="0" borderId="1" xfId="0" applyNumberFormat="1" applyFont="1" applyBorder="1"/>
    <xf numFmtId="166" fontId="2" fillId="0" borderId="1" xfId="0" applyNumberFormat="1" applyFont="1" applyBorder="1"/>
    <xf numFmtId="0" fontId="3" fillId="6" borderId="1" xfId="0" applyFont="1" applyFill="1" applyBorder="1" applyAlignment="1">
      <alignment wrapText="1"/>
    </xf>
    <xf numFmtId="165" fontId="3" fillId="6" borderId="1" xfId="0" applyNumberFormat="1" applyFont="1" applyFill="1" applyBorder="1"/>
    <xf numFmtId="166" fontId="3" fillId="6" borderId="1" xfId="0" applyNumberFormat="1" applyFont="1" applyFill="1" applyBorder="1"/>
    <xf numFmtId="0" fontId="10" fillId="0" borderId="0" xfId="0" applyFont="1"/>
    <xf numFmtId="0" fontId="11" fillId="0" borderId="0" xfId="0" applyFont="1"/>
    <xf numFmtId="0" fontId="12" fillId="0" borderId="0" xfId="0" applyFont="1"/>
    <xf numFmtId="3" fontId="12" fillId="0" borderId="0" xfId="0" applyNumberFormat="1" applyFont="1"/>
    <xf numFmtId="164" fontId="12" fillId="0" borderId="0" xfId="0" applyNumberFormat="1" applyFont="1"/>
    <xf numFmtId="0" fontId="11" fillId="0" borderId="1" xfId="0" applyFont="1" applyBorder="1"/>
    <xf numFmtId="165" fontId="13" fillId="4" borderId="1" xfId="0" applyNumberFormat="1" applyFont="1" applyFill="1" applyBorder="1"/>
    <xf numFmtId="0" fontId="10" fillId="0" borderId="1" xfId="0" applyFont="1" applyBorder="1"/>
    <xf numFmtId="169" fontId="13" fillId="4" borderId="1" xfId="0" applyNumberFormat="1" applyFont="1" applyFill="1" applyBorder="1"/>
    <xf numFmtId="166" fontId="13" fillId="4" borderId="1" xfId="0" applyNumberFormat="1" applyFont="1" applyFill="1" applyBorder="1"/>
    <xf numFmtId="1" fontId="13" fillId="4" borderId="1" xfId="0" applyNumberFormat="1" applyFont="1" applyFill="1" applyBorder="1"/>
    <xf numFmtId="167" fontId="13" fillId="4" borderId="1" xfId="0" applyNumberFormat="1" applyFont="1" applyFill="1" applyBorder="1"/>
    <xf numFmtId="0" fontId="9" fillId="2" borderId="1" xfId="0" applyFont="1" applyFill="1" applyBorder="1" applyAlignment="1">
      <alignment horizontal="center" wrapText="1"/>
    </xf>
    <xf numFmtId="165" fontId="10" fillId="0" borderId="0" xfId="0" applyNumberFormat="1" applyFont="1"/>
    <xf numFmtId="166" fontId="10" fillId="0" borderId="0" xfId="0" applyNumberFormat="1" applyFont="1"/>
    <xf numFmtId="0" fontId="11" fillId="6" borderId="1" xfId="0" applyFont="1" applyFill="1" applyBorder="1"/>
    <xf numFmtId="165" fontId="11" fillId="6" borderId="1" xfId="0" applyNumberFormat="1" applyFont="1" applyFill="1" applyBorder="1"/>
    <xf numFmtId="0" fontId="11" fillId="7" borderId="1" xfId="0" applyFont="1" applyFill="1" applyBorder="1"/>
    <xf numFmtId="165" fontId="11" fillId="7" borderId="1" xfId="0" applyNumberFormat="1" applyFont="1" applyFill="1" applyBorder="1"/>
    <xf numFmtId="0" fontId="11" fillId="8" borderId="1" xfId="0" applyFont="1" applyFill="1" applyBorder="1"/>
    <xf numFmtId="165" fontId="11" fillId="8" borderId="1" xfId="0" applyNumberFormat="1" applyFont="1" applyFill="1" applyBorder="1"/>
    <xf numFmtId="170" fontId="10" fillId="0" borderId="0" xfId="0" applyNumberFormat="1" applyFont="1"/>
    <xf numFmtId="171" fontId="10" fillId="0" borderId="0" xfId="0" applyNumberFormat="1" applyFont="1"/>
    <xf numFmtId="0" fontId="11" fillId="3" borderId="1" xfId="0" applyFont="1" applyFill="1" applyBorder="1"/>
    <xf numFmtId="165" fontId="11" fillId="3" borderId="1" xfId="0" applyNumberFormat="1" applyFont="1" applyFill="1" applyBorder="1"/>
    <xf numFmtId="166" fontId="11" fillId="6" borderId="1" xfId="0" applyNumberFormat="1" applyFont="1" applyFill="1" applyBorder="1"/>
    <xf numFmtId="165" fontId="10" fillId="0" borderId="1" xfId="0" applyNumberFormat="1" applyFont="1" applyBorder="1"/>
    <xf numFmtId="165" fontId="10" fillId="6" borderId="1" xfId="0" applyNumberFormat="1" applyFont="1" applyFill="1" applyBorder="1"/>
    <xf numFmtId="167" fontId="10" fillId="6" borderId="1" xfId="0" applyNumberFormat="1" applyFont="1" applyFill="1" applyBorder="1"/>
    <xf numFmtId="166" fontId="10" fillId="6" borderId="1" xfId="0" applyNumberFormat="1" applyFont="1" applyFill="1" applyBorder="1"/>
    <xf numFmtId="0" fontId="9" fillId="2" borderId="1" xfId="0" applyFont="1" applyFill="1" applyBorder="1" applyAlignment="1">
      <alignment horizontal="center"/>
    </xf>
    <xf numFmtId="166" fontId="11" fillId="3" borderId="1" xfId="0" applyNumberFormat="1" applyFont="1" applyFill="1" applyBorder="1"/>
    <xf numFmtId="0" fontId="12" fillId="0" borderId="1" xfId="0" applyFont="1" applyBorder="1"/>
    <xf numFmtId="3" fontId="12" fillId="0" borderId="1" xfId="0" applyNumberFormat="1" applyFont="1" applyBorder="1"/>
    <xf numFmtId="165" fontId="12" fillId="0" borderId="1" xfId="0" applyNumberFormat="1" applyFont="1" applyBorder="1"/>
    <xf numFmtId="164" fontId="12" fillId="0" borderId="1" xfId="0" applyNumberFormat="1" applyFont="1" applyBorder="1"/>
    <xf numFmtId="0" fontId="9" fillId="2" borderId="1" xfId="0" applyFont="1" applyFill="1" applyBorder="1"/>
    <xf numFmtId="0" fontId="13" fillId="4" borderId="1" xfId="0" applyFont="1" applyFill="1" applyBorder="1"/>
    <xf numFmtId="164" fontId="13" fillId="4" borderId="1" xfId="0" applyNumberFormat="1" applyFont="1" applyFill="1" applyBorder="1"/>
    <xf numFmtId="3" fontId="13" fillId="4" borderId="1" xfId="0" applyNumberFormat="1" applyFont="1" applyFill="1" applyBorder="1"/>
    <xf numFmtId="166" fontId="11" fillId="8" borderId="1" xfId="0" applyNumberFormat="1" applyFont="1" applyFill="1" applyBorder="1"/>
    <xf numFmtId="169" fontId="11" fillId="8" borderId="1" xfId="0" applyNumberFormat="1" applyFont="1" applyFill="1" applyBorder="1"/>
    <xf numFmtId="169" fontId="10" fillId="0" borderId="1" xfId="0" applyNumberFormat="1" applyFont="1" applyBorder="1"/>
    <xf numFmtId="166" fontId="10" fillId="0" borderId="1" xfId="0" applyNumberFormat="1" applyFont="1" applyBorder="1"/>
    <xf numFmtId="0" fontId="11" fillId="0" borderId="1" xfId="0" applyFont="1" applyBorder="1" applyAlignment="1">
      <alignment wrapText="1"/>
    </xf>
    <xf numFmtId="0" fontId="10" fillId="0" borderId="1" xfId="0" applyFont="1" applyBorder="1" applyAlignment="1">
      <alignment wrapText="1"/>
    </xf>
    <xf numFmtId="0" fontId="9" fillId="2" borderId="1" xfId="0" applyFont="1" applyFill="1" applyBorder="1" applyAlignment="1">
      <alignment wrapText="1"/>
    </xf>
    <xf numFmtId="167" fontId="10" fillId="0" borderId="1" xfId="0" applyNumberFormat="1" applyFont="1" applyBorder="1"/>
    <xf numFmtId="1" fontId="10" fillId="0" borderId="1" xfId="0" applyNumberFormat="1" applyFont="1" applyBorder="1"/>
    <xf numFmtId="0" fontId="15" fillId="4" borderId="1" xfId="0" applyFont="1" applyFill="1" applyBorder="1" applyAlignment="1">
      <alignment vertical="top" wrapText="1"/>
    </xf>
    <xf numFmtId="0" fontId="9" fillId="2" borderId="1" xfId="0" applyFont="1" applyFill="1" applyBorder="1" applyAlignment="1">
      <alignment horizontal="center" vertical="center"/>
    </xf>
    <xf numFmtId="0" fontId="9" fillId="2" borderId="1" xfId="0" applyFont="1" applyFill="1" applyBorder="1" applyAlignment="1">
      <alignment vertical="center"/>
    </xf>
    <xf numFmtId="0" fontId="14" fillId="5" borderId="1" xfId="0" applyFont="1" applyFill="1" applyBorder="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7" fillId="5" borderId="1" xfId="0" applyFont="1" applyFill="1" applyBorder="1" applyAlignment="1">
      <alignment horizontal="center" vertical="center" wrapText="1"/>
    </xf>
    <xf numFmtId="0" fontId="8" fillId="4" borderId="1" xfId="0" applyFont="1" applyFill="1" applyBorder="1" applyAlignment="1">
      <alignment vertical="top" wrapText="1"/>
    </xf>
    <xf numFmtId="0" fontId="16" fillId="5" borderId="1" xfId="0" applyFont="1" applyFill="1" applyBorder="1" applyAlignment="1">
      <alignment vertical="top" wrapText="1"/>
    </xf>
    <xf numFmtId="0" fontId="10"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228600</xdr:colOff>
      <xdr:row>50</xdr:row>
      <xdr:rowOff>28575</xdr:rowOff>
    </xdr:to>
    <xdr:sp macro="" textlink="">
      <xdr:nvSpPr>
        <xdr:cNvPr id="1031" name="Text Box 7" hidden="1">
          <a:extLst>
            <a:ext uri="{FF2B5EF4-FFF2-40B4-BE49-F238E27FC236}">
              <a16:creationId xmlns:a16="http://schemas.microsoft.com/office/drawing/2014/main" id="{33B68214-5686-B970-04CC-AF2D4423496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228600</xdr:colOff>
      <xdr:row>50</xdr:row>
      <xdr:rowOff>28575</xdr:rowOff>
    </xdr:to>
    <xdr:sp macro="" textlink="">
      <xdr:nvSpPr>
        <xdr:cNvPr id="2" name="AutoShape 7">
          <a:extLst>
            <a:ext uri="{FF2B5EF4-FFF2-40B4-BE49-F238E27FC236}">
              <a16:creationId xmlns:a16="http://schemas.microsoft.com/office/drawing/2014/main" id="{2A46980B-8782-D8B3-6F05-7D234E9ABE4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Brandon" id="{B442E6D6-342A-42A1-8D6F-88D2AD29F3DC}" userId="" providerId=""/>
</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2" dT="2026-07-17T09:41:44.98" personId="{B442E6D6-342A-42A1-8D6F-88D2AD29F3DC}" id="{FF2737A4-62A6-0F8D-9EFB-F7EC068B1923}">
    <text>Source item: KPKT Strata Handbook. Replace with the subject JMB/MC-approved monthly maintenance charge.</text>
  </threadedComment>
  <threadedComment ref="E13" dT="2026-07-17T09:41:44.98" personId="{B442E6D6-342A-42A1-8D6F-88D2AD29F3DC}" id="{FFBDB746-E160-737C-9613-A1AE6CF09F87}">
    <text>Source item: KPKT Strata Handbook. Replace with the subject scheme's actual sinking-fund contribution.</text>
  </threadedComment>
  <threadedComment ref="E25" dT="2026-07-17T09:41:44.98" personId="{B442E6D6-342A-42A1-8D6F-88D2AD29F3DC}" id="{F4F53595-338D-1C35-6E8C-843475CD05B4}">
    <text>Benchmark: Bank Negara Malaysia OPR was 2.75% as at 7 May 2026. Enter the buyer's actual bank mortgage rate; OPR is not the mortgage rate.</text>
  </threadedComment>
  <threadedComment ref="E27" dT="2026-07-17T09:41:44.98" personId="{B442E6D6-342A-42A1-8D6F-88D2AD29F3DC}" id="{C14F396C-9293-3CA9-6582-E8F093214DEB}">
    <text>LHDN notes that rental income is reported net of allowable rental-related expenses. Enter the buyer's applicable marginal rate and obtain tax advice.</text>
  </threadedComment>
  <threadedComment ref="E28" dT="2026-07-17T09:41:44.98" personId="{B442E6D6-342A-42A1-8D6F-88D2AD29F3DC}" id="{B931E8CD-B3BC-DF6A-37D2-5A801F4A740D}">
    <text>LHDN RPGT rates depend on disposer category and holding period. The illustrative 15% is for a Malaysian citizen disposing in year 5 under the current table.</text>
  </threadedComment>
  <threadedComment ref="E30" dT="2026-07-17T09:41:44.98" personId="{B442E6D6-342A-42A1-8D6F-88D2AD29F3DC}" id="{0D13491E-2CFA-276F-FDD0-21AAFFDB94BC}">
    <text>Stamp duty applies to relevant property-transfer and financing instruments. Replace with a current solicitor's estimate including any applicable relief.</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showGridLines="0" workbookViewId="0">
      <selection activeCell="C9" sqref="C9"/>
    </sheetView>
  </sheetViews>
  <sheetFormatPr defaultRowHeight="14.25"/>
  <cols>
    <col min="1" max="1" width="38" customWidth="1"/>
    <col min="2" max="2" width="30" customWidth="1"/>
    <col min="3" max="3" width="23" customWidth="1"/>
    <col min="4" max="4" width="22" customWidth="1"/>
    <col min="5" max="5" width="25" customWidth="1"/>
    <col min="6" max="6" width="24" customWidth="1"/>
  </cols>
  <sheetData>
    <row r="1" spans="1:6" ht="26.1" customHeight="1">
      <c r="A1" s="77" t="s">
        <v>0</v>
      </c>
      <c r="B1" s="77" t="s">
        <v>0</v>
      </c>
      <c r="C1" s="77" t="s">
        <v>0</v>
      </c>
      <c r="D1" s="77" t="s">
        <v>0</v>
      </c>
      <c r="E1" s="77" t="s">
        <v>0</v>
      </c>
      <c r="F1" s="77" t="s">
        <v>0</v>
      </c>
    </row>
    <row r="2" spans="1:6">
      <c r="A2" s="1"/>
      <c r="B2" s="1"/>
      <c r="C2" s="1"/>
      <c r="D2" s="1"/>
      <c r="E2" s="1"/>
      <c r="F2" s="1"/>
    </row>
    <row r="3" spans="1:6">
      <c r="A3" s="2"/>
      <c r="B3" s="2"/>
      <c r="C3" s="2"/>
      <c r="D3" s="2"/>
      <c r="E3" s="2"/>
      <c r="F3" s="2"/>
    </row>
    <row r="4" spans="1:6">
      <c r="A4" s="3" t="s">
        <v>1</v>
      </c>
      <c r="B4" s="4" t="s">
        <v>2</v>
      </c>
      <c r="C4" s="1"/>
      <c r="D4" s="1"/>
      <c r="E4" s="1"/>
      <c r="F4" s="1"/>
    </row>
    <row r="5" spans="1:6">
      <c r="A5" s="3" t="s">
        <v>3</v>
      </c>
      <c r="B5" s="4" t="s">
        <v>4</v>
      </c>
      <c r="C5" s="1"/>
      <c r="D5" s="1"/>
      <c r="E5" s="1"/>
      <c r="F5" s="1"/>
    </row>
    <row r="6" spans="1:6">
      <c r="A6" s="5" t="s">
        <v>5</v>
      </c>
      <c r="B6" s="6">
        <v>46220</v>
      </c>
      <c r="C6" s="1"/>
      <c r="D6" s="1"/>
      <c r="E6" s="1"/>
      <c r="F6" s="1"/>
    </row>
    <row r="7" spans="1:6">
      <c r="A7" s="3" t="s">
        <v>6</v>
      </c>
      <c r="B7" s="4" t="s">
        <v>7</v>
      </c>
      <c r="C7" s="1"/>
      <c r="D7" s="1"/>
      <c r="E7" s="1"/>
      <c r="F7" s="1"/>
    </row>
    <row r="8" spans="1:6">
      <c r="A8" s="3" t="s">
        <v>8</v>
      </c>
      <c r="B8" s="4" t="s">
        <v>425</v>
      </c>
      <c r="C8" s="1"/>
      <c r="D8" s="1"/>
      <c r="E8" s="1"/>
      <c r="F8" s="1"/>
    </row>
    <row r="9" spans="1:6">
      <c r="A9" s="3" t="s">
        <v>9</v>
      </c>
      <c r="B9" s="4" t="s">
        <v>10</v>
      </c>
      <c r="C9" s="1"/>
      <c r="D9" s="1"/>
      <c r="E9" s="1"/>
      <c r="F9" s="1"/>
    </row>
    <row r="10" spans="1:6">
      <c r="A10" s="3" t="s">
        <v>11</v>
      </c>
      <c r="B10" s="4" t="s">
        <v>12</v>
      </c>
      <c r="C10" s="1"/>
      <c r="D10" s="1"/>
      <c r="E10" s="1"/>
      <c r="F10" s="1"/>
    </row>
    <row r="11" spans="1:6">
      <c r="A11" s="3" t="s">
        <v>13</v>
      </c>
      <c r="B11" s="4" t="s">
        <v>4</v>
      </c>
      <c r="C11" s="1"/>
      <c r="D11" s="1"/>
      <c r="E11" s="1"/>
      <c r="F11" s="1"/>
    </row>
    <row r="12" spans="1:6">
      <c r="A12" s="3" t="s">
        <v>14</v>
      </c>
      <c r="B12" s="4">
        <v>1000</v>
      </c>
      <c r="C12" s="1"/>
      <c r="D12" s="1"/>
      <c r="E12" s="1"/>
      <c r="F12" s="1"/>
    </row>
    <row r="13" spans="1:6">
      <c r="A13" s="3" t="s">
        <v>15</v>
      </c>
      <c r="B13" s="7">
        <v>1</v>
      </c>
      <c r="C13" s="1"/>
      <c r="D13" s="1"/>
      <c r="E13" s="1"/>
      <c r="F13" s="1"/>
    </row>
    <row r="14" spans="1:6">
      <c r="A14" s="3" t="s">
        <v>16</v>
      </c>
      <c r="B14" s="4" t="s">
        <v>17</v>
      </c>
      <c r="C14" s="1"/>
      <c r="D14" s="1"/>
      <c r="E14" s="1"/>
      <c r="F14" s="1"/>
    </row>
    <row r="15" spans="1:6">
      <c r="A15" s="3" t="s">
        <v>18</v>
      </c>
      <c r="B15" s="4" t="s">
        <v>19</v>
      </c>
      <c r="C15" s="1"/>
      <c r="D15" s="1"/>
      <c r="E15" s="1"/>
      <c r="F15" s="1"/>
    </row>
    <row r="16" spans="1:6">
      <c r="A16" s="3" t="s">
        <v>20</v>
      </c>
      <c r="B16" s="4" t="s">
        <v>21</v>
      </c>
      <c r="C16" s="1"/>
      <c r="D16" s="1"/>
      <c r="E16" s="1"/>
      <c r="F16" s="1"/>
    </row>
    <row r="17" spans="1:6">
      <c r="A17" s="3" t="s">
        <v>22</v>
      </c>
      <c r="B17" s="4" t="s">
        <v>23</v>
      </c>
      <c r="C17" s="1"/>
      <c r="D17" s="1"/>
      <c r="E17" s="1"/>
      <c r="F17" s="1"/>
    </row>
    <row r="18" spans="1:6">
      <c r="A18" s="3" t="s">
        <v>24</v>
      </c>
      <c r="B18" s="4" t="s">
        <v>25</v>
      </c>
      <c r="C18" s="1"/>
      <c r="D18" s="1"/>
      <c r="E18" s="1"/>
      <c r="F18" s="1"/>
    </row>
    <row r="19" spans="1:6">
      <c r="A19" s="1"/>
      <c r="B19" s="1"/>
      <c r="C19" s="1"/>
      <c r="D19" s="1"/>
      <c r="E19" s="1"/>
      <c r="F19" s="1"/>
    </row>
    <row r="20" spans="1:6" ht="20.100000000000001" customHeight="1">
      <c r="A20" s="78" t="s">
        <v>26</v>
      </c>
      <c r="B20" s="78" t="s">
        <v>26</v>
      </c>
      <c r="C20" s="78" t="s">
        <v>26</v>
      </c>
      <c r="D20" s="78" t="s">
        <v>26</v>
      </c>
      <c r="E20" s="78" t="s">
        <v>26</v>
      </c>
      <c r="F20" s="78" t="s">
        <v>26</v>
      </c>
    </row>
    <row r="21" spans="1:6">
      <c r="A21" s="8" t="s">
        <v>27</v>
      </c>
      <c r="B21" s="9">
        <f>'Residential DCF (Buyer)'!$B$69</f>
        <v>362439.90780429216</v>
      </c>
      <c r="C21" s="10" t="s">
        <v>28</v>
      </c>
      <c r="D21" s="9">
        <f>'Residential DCF (Buyer)'!$B$12</f>
        <v>450000</v>
      </c>
      <c r="E21" s="10" t="s">
        <v>29</v>
      </c>
      <c r="F21" s="11">
        <f>IFERROR((B21-D21)/D21,"")</f>
        <v>-0.19457798265712853</v>
      </c>
    </row>
    <row r="22" spans="1:6">
      <c r="A22" s="8" t="s">
        <v>30</v>
      </c>
      <c r="B22" s="9">
        <f>'Residential DCF (Buyer)'!$B$70</f>
        <v>362.43990780429215</v>
      </c>
      <c r="C22" s="10" t="s">
        <v>31</v>
      </c>
      <c r="D22" s="9">
        <f>'Residential DCF (Buyer)'!$B$80</f>
        <v>501000</v>
      </c>
      <c r="E22" s="10" t="s">
        <v>32</v>
      </c>
      <c r="F22" s="9" t="str">
        <f>IF('Comparison Approach'!$B$55&lt;&gt;"OK","",'Comparison Approach'!$B$53)</f>
        <v/>
      </c>
    </row>
    <row r="23" spans="1:6">
      <c r="A23" s="8" t="s">
        <v>33</v>
      </c>
      <c r="B23" s="9">
        <f>'Residential DCF (Buyer)'!$F$60</f>
        <v>22634.400000000001</v>
      </c>
      <c r="C23" s="10" t="s">
        <v>34</v>
      </c>
      <c r="D23" s="9">
        <f>'Residential DCF (Buyer)'!$B$85</f>
        <v>21251.803294633693</v>
      </c>
      <c r="E23" s="10" t="s">
        <v>35</v>
      </c>
      <c r="F23" s="12">
        <f>'Residential DCF (Buyer)'!$B$86</f>
        <v>1.0650578535006217</v>
      </c>
    </row>
    <row r="24" spans="1:6">
      <c r="A24" s="8" t="s">
        <v>36</v>
      </c>
      <c r="B24" s="9">
        <f>'Residential DCF (Buyer)'!$B$83</f>
        <v>141000</v>
      </c>
      <c r="C24" s="10" t="s">
        <v>37</v>
      </c>
      <c r="D24" s="11">
        <f>'Residential DCF (Buyer)'!$B$87</f>
        <v>9.8056503926688514E-3</v>
      </c>
      <c r="E24" s="10" t="s">
        <v>38</v>
      </c>
      <c r="F24" s="11">
        <f>'Residential DCF (Buyer)'!$B$95</f>
        <v>-2.54867589105221E-2</v>
      </c>
    </row>
    <row r="25" spans="1:6">
      <c r="A25" s="8" t="s">
        <v>39</v>
      </c>
      <c r="B25" s="11">
        <f>'Residential DCF (Buyer)'!$B$71</f>
        <v>0.74569143208133692</v>
      </c>
      <c r="C25" s="10" t="s">
        <v>40</v>
      </c>
      <c r="D25" s="12">
        <f>'Residential DCF (Buyer)'!$E$29</f>
        <v>1.1000000000000001</v>
      </c>
      <c r="E25" s="10" t="s">
        <v>41</v>
      </c>
      <c r="F25" s="13">
        <f>'Residential DCF (Buyer)'!$B$24</f>
        <v>5</v>
      </c>
    </row>
    <row r="26" spans="1:6">
      <c r="A26" s="1"/>
      <c r="B26" s="1"/>
      <c r="C26" s="1"/>
      <c r="D26" s="1"/>
      <c r="E26" s="1"/>
      <c r="F26" s="1"/>
    </row>
    <row r="27" spans="1:6" ht="27.95" customHeight="1">
      <c r="A27" s="79" t="str">
        <f>IF(AND(B21&gt;=D21,F23&gt;=D25),"PASS SCREEN — validate tenancy, condition and legal due diligence","REVIEW PRICE / RENT / LEVERAGE — illustrative inputs do not meet both value and DSCR screens")</f>
        <v>REVIEW PRICE / RENT / LEVERAGE — illustrative inputs do not meet both value and DSCR screens</v>
      </c>
      <c r="B27" s="79"/>
      <c r="C27" s="79"/>
      <c r="D27" s="79"/>
      <c r="E27" s="79"/>
      <c r="F27" s="79"/>
    </row>
    <row r="28" spans="1:6" ht="27.95" customHeight="1">
      <c r="A28" s="79"/>
      <c r="B28" s="79"/>
      <c r="C28" s="79"/>
      <c r="D28" s="79"/>
      <c r="E28" s="79"/>
      <c r="F28" s="79"/>
    </row>
    <row r="29" spans="1:6">
      <c r="A29" s="1"/>
      <c r="B29" s="1"/>
      <c r="C29" s="1"/>
      <c r="D29" s="1"/>
      <c r="E29" s="1"/>
      <c r="F29" s="1"/>
    </row>
    <row r="30" spans="1:6">
      <c r="A30" s="1"/>
      <c r="B30" s="1"/>
      <c r="C30" s="1"/>
      <c r="D30" s="1"/>
      <c r="E30" s="1"/>
      <c r="F30" s="1"/>
    </row>
    <row r="31" spans="1:6" ht="20.100000000000001" customHeight="1">
      <c r="A31" s="78" t="s">
        <v>42</v>
      </c>
      <c r="B31" s="78" t="s">
        <v>42</v>
      </c>
      <c r="C31" s="78" t="s">
        <v>42</v>
      </c>
      <c r="D31" s="78" t="s">
        <v>42</v>
      </c>
      <c r="E31" s="78" t="s">
        <v>42</v>
      </c>
      <c r="F31" s="78" t="s">
        <v>42</v>
      </c>
    </row>
    <row r="32" spans="1:6">
      <c r="A32" s="14" t="s">
        <v>43</v>
      </c>
      <c r="B32" s="14" t="s">
        <v>44</v>
      </c>
      <c r="C32" s="14" t="s">
        <v>45</v>
      </c>
      <c r="D32" s="14" t="s">
        <v>28</v>
      </c>
      <c r="E32" s="1"/>
      <c r="F32" s="1"/>
    </row>
    <row r="33" spans="1:6" ht="27.95" customHeight="1">
      <c r="A33" s="15" t="s">
        <v>46</v>
      </c>
      <c r="B33" s="16">
        <f>B21</f>
        <v>362439.90780429216</v>
      </c>
      <c r="C33" s="17">
        <f>IFERROR((B33-D33)/D33,"")</f>
        <v>-0.19457798265712853</v>
      </c>
      <c r="D33" s="16">
        <f>D21</f>
        <v>450000</v>
      </c>
      <c r="E33" s="1"/>
      <c r="F33" s="1"/>
    </row>
    <row r="34" spans="1:6" ht="27.95" customHeight="1">
      <c r="A34" s="18" t="s">
        <v>47</v>
      </c>
      <c r="B34" s="19" t="str">
        <f>IF(F22="","",F22)</f>
        <v/>
      </c>
      <c r="C34" s="20" t="str">
        <f>IF(B34="","",IFERROR((B34-D34)/D34,""))</f>
        <v/>
      </c>
      <c r="D34" s="19">
        <f>D21</f>
        <v>450000</v>
      </c>
      <c r="E34" s="1"/>
      <c r="F34" s="1"/>
    </row>
    <row r="35" spans="1:6" ht="27.95" customHeight="1">
      <c r="A35" s="18" t="s">
        <v>48</v>
      </c>
      <c r="B35" s="19" t="s">
        <v>49</v>
      </c>
      <c r="C35" s="20"/>
      <c r="D35" s="19"/>
      <c r="E35" s="1"/>
      <c r="F35" s="1"/>
    </row>
    <row r="36" spans="1:6" ht="27.95" customHeight="1">
      <c r="A36" s="21" t="s">
        <v>50</v>
      </c>
      <c r="B36" s="22">
        <f>IF(B34="",B33,AVERAGE(B33,B34))</f>
        <v>362439.90780429216</v>
      </c>
      <c r="C36" s="23">
        <f>IFERROR((B36-D36)/D36,"")</f>
        <v>-0.19457798265712853</v>
      </c>
      <c r="D36" s="22">
        <f>D21</f>
        <v>450000</v>
      </c>
      <c r="E36" s="1"/>
      <c r="F36" s="1"/>
    </row>
    <row r="37" spans="1:6">
      <c r="A37" s="1"/>
      <c r="B37" s="1"/>
      <c r="C37" s="1"/>
      <c r="D37" s="1"/>
      <c r="E37" s="1"/>
      <c r="F37" s="1"/>
    </row>
    <row r="38" spans="1:6">
      <c r="A38" s="1"/>
      <c r="B38" s="1"/>
      <c r="C38" s="1"/>
      <c r="D38" s="1"/>
      <c r="E38" s="1"/>
      <c r="F38" s="1"/>
    </row>
    <row r="39" spans="1:6" ht="24" customHeight="1">
      <c r="A39" s="80" t="s">
        <v>51</v>
      </c>
      <c r="B39" s="80" t="s">
        <v>51</v>
      </c>
      <c r="C39" s="80" t="s">
        <v>51</v>
      </c>
      <c r="D39" s="80" t="s">
        <v>51</v>
      </c>
      <c r="E39" s="80" t="s">
        <v>51</v>
      </c>
      <c r="F39" s="80" t="s">
        <v>51</v>
      </c>
    </row>
    <row r="40" spans="1:6" ht="24" customHeight="1">
      <c r="A40" s="80" t="s">
        <v>51</v>
      </c>
      <c r="B40" s="80" t="s">
        <v>51</v>
      </c>
      <c r="C40" s="80" t="s">
        <v>51</v>
      </c>
      <c r="D40" s="80" t="s">
        <v>51</v>
      </c>
      <c r="E40" s="80" t="s">
        <v>51</v>
      </c>
      <c r="F40" s="80" t="s">
        <v>51</v>
      </c>
    </row>
    <row r="41" spans="1:6" ht="24" customHeight="1">
      <c r="A41" s="80" t="s">
        <v>51</v>
      </c>
      <c r="B41" s="80" t="s">
        <v>51</v>
      </c>
      <c r="C41" s="80" t="s">
        <v>51</v>
      </c>
      <c r="D41" s="80" t="s">
        <v>51</v>
      </c>
      <c r="E41" s="80" t="s">
        <v>51</v>
      </c>
      <c r="F41" s="80" t="s">
        <v>51</v>
      </c>
    </row>
    <row r="42" spans="1:6" ht="24" customHeight="1">
      <c r="A42" s="80" t="s">
        <v>51</v>
      </c>
      <c r="B42" s="80" t="s">
        <v>51</v>
      </c>
      <c r="C42" s="80" t="s">
        <v>51</v>
      </c>
      <c r="D42" s="80" t="s">
        <v>51</v>
      </c>
      <c r="E42" s="80" t="s">
        <v>51</v>
      </c>
      <c r="F42" s="80" t="s">
        <v>51</v>
      </c>
    </row>
  </sheetData>
  <mergeCells count="5">
    <mergeCell ref="A1:F1"/>
    <mergeCell ref="A20:F20"/>
    <mergeCell ref="A27:F28"/>
    <mergeCell ref="A31:F31"/>
    <mergeCell ref="A39:F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showGridLines="0" tabSelected="1" topLeftCell="A46" workbookViewId="0">
      <selection activeCell="F7" sqref="F7"/>
    </sheetView>
  </sheetViews>
  <sheetFormatPr defaultRowHeight="14.25"/>
  <cols>
    <col min="1" max="1" width="36" customWidth="1"/>
    <col min="2" max="2" width="22" customWidth="1"/>
    <col min="3" max="3" width="16" customWidth="1"/>
    <col min="4" max="4" width="30" customWidth="1"/>
    <col min="5" max="5" width="18" customWidth="1"/>
    <col min="6" max="11" width="16" customWidth="1"/>
  </cols>
  <sheetData>
    <row r="1" spans="1:11" ht="26.1" customHeight="1">
      <c r="A1" s="74" t="s">
        <v>52</v>
      </c>
      <c r="B1" s="74" t="s">
        <v>52</v>
      </c>
      <c r="C1" s="74" t="s">
        <v>52</v>
      </c>
      <c r="D1" s="74" t="s">
        <v>52</v>
      </c>
      <c r="E1" s="74" t="s">
        <v>52</v>
      </c>
      <c r="F1" s="74" t="s">
        <v>52</v>
      </c>
      <c r="G1" s="74" t="s">
        <v>52</v>
      </c>
      <c r="H1" s="74" t="s">
        <v>52</v>
      </c>
      <c r="I1" s="74" t="s">
        <v>52</v>
      </c>
      <c r="J1" s="74" t="s">
        <v>52</v>
      </c>
      <c r="K1" s="74" t="s">
        <v>52</v>
      </c>
    </row>
    <row r="2" spans="1:11">
      <c r="A2" s="24"/>
      <c r="B2" s="24"/>
      <c r="C2" s="24"/>
      <c r="D2" s="24"/>
      <c r="E2" s="24"/>
      <c r="F2" s="24"/>
      <c r="G2" s="24"/>
      <c r="H2" s="24"/>
      <c r="I2" s="24"/>
      <c r="J2" s="24"/>
      <c r="K2" s="24"/>
    </row>
    <row r="3" spans="1:11">
      <c r="A3" s="25" t="s">
        <v>53</v>
      </c>
      <c r="B3" s="26" t="str">
        <f>Summary!$B$8</f>
        <v xml:space="preserve">Sungai Jawi </v>
      </c>
      <c r="C3" s="24"/>
      <c r="D3" s="24"/>
      <c r="E3" s="24"/>
      <c r="F3" s="24"/>
      <c r="G3" s="24"/>
      <c r="H3" s="24"/>
      <c r="I3" s="24"/>
      <c r="J3" s="24"/>
      <c r="K3" s="24"/>
    </row>
    <row r="4" spans="1:11">
      <c r="A4" s="25" t="s">
        <v>54</v>
      </c>
      <c r="B4" s="26" t="str">
        <f>Summary!$B$9</f>
        <v>Residential strata apartment / condominium unit</v>
      </c>
      <c r="C4" s="24"/>
      <c r="D4" s="24"/>
      <c r="E4" s="24"/>
      <c r="F4" s="24"/>
      <c r="G4" s="24"/>
      <c r="H4" s="24"/>
      <c r="I4" s="24"/>
      <c r="J4" s="24"/>
      <c r="K4" s="24"/>
    </row>
    <row r="5" spans="1:11">
      <c r="A5" s="25" t="s">
        <v>11</v>
      </c>
      <c r="B5" s="26" t="str">
        <f>Summary!$B$10</f>
        <v>Penang, Malaysia — replace with subject address</v>
      </c>
      <c r="C5" s="24"/>
      <c r="D5" s="24"/>
      <c r="E5" s="24"/>
      <c r="F5" s="24"/>
      <c r="G5" s="24"/>
      <c r="H5" s="24"/>
      <c r="I5" s="24"/>
      <c r="J5" s="24"/>
      <c r="K5" s="24"/>
    </row>
    <row r="6" spans="1:11">
      <c r="A6" s="25" t="s">
        <v>16</v>
      </c>
      <c r="B6" s="26" t="str">
        <f>Summary!$B$14</f>
        <v>Freehold — replace if leasehold</v>
      </c>
      <c r="C6" s="24"/>
      <c r="D6" s="24"/>
      <c r="E6" s="24"/>
      <c r="F6" s="24"/>
      <c r="G6" s="24"/>
      <c r="H6" s="24"/>
      <c r="I6" s="24"/>
      <c r="J6" s="24"/>
      <c r="K6" s="24"/>
    </row>
    <row r="7" spans="1:11">
      <c r="A7" s="25" t="s">
        <v>14</v>
      </c>
      <c r="B7" s="27">
        <f>Summary!$B$12</f>
        <v>1000</v>
      </c>
      <c r="C7" s="24"/>
      <c r="D7" s="24"/>
      <c r="E7" s="24"/>
      <c r="F7" s="24"/>
      <c r="G7" s="24"/>
      <c r="H7" s="24"/>
      <c r="I7" s="24"/>
      <c r="J7" s="24"/>
      <c r="K7" s="24"/>
    </row>
    <row r="8" spans="1:11">
      <c r="A8" s="25" t="s">
        <v>15</v>
      </c>
      <c r="B8" s="27">
        <f>Summary!$B$13</f>
        <v>1</v>
      </c>
      <c r="C8" s="24"/>
      <c r="D8" s="24"/>
      <c r="E8" s="24"/>
      <c r="F8" s="24"/>
      <c r="G8" s="24"/>
      <c r="H8" s="24"/>
      <c r="I8" s="24"/>
      <c r="J8" s="24"/>
      <c r="K8" s="24"/>
    </row>
    <row r="9" spans="1:11">
      <c r="A9" s="25" t="s">
        <v>55</v>
      </c>
      <c r="B9" s="28">
        <f>Summary!$B$6</f>
        <v>46220</v>
      </c>
      <c r="C9" s="24"/>
      <c r="D9" s="24"/>
      <c r="E9" s="24"/>
      <c r="F9" s="24"/>
      <c r="G9" s="24"/>
      <c r="H9" s="24"/>
      <c r="I9" s="24"/>
      <c r="J9" s="24"/>
      <c r="K9" s="24"/>
    </row>
    <row r="10" spans="1:11">
      <c r="A10" s="24"/>
      <c r="B10" s="24"/>
      <c r="C10" s="24"/>
      <c r="D10" s="24"/>
      <c r="E10" s="24"/>
      <c r="F10" s="24"/>
      <c r="G10" s="24"/>
      <c r="H10" s="24"/>
      <c r="I10" s="24"/>
      <c r="J10" s="24"/>
      <c r="K10" s="24"/>
    </row>
    <row r="11" spans="1:11" ht="20.100000000000001" customHeight="1">
      <c r="A11" s="75" t="s">
        <v>56</v>
      </c>
      <c r="B11" s="75" t="s">
        <v>56</v>
      </c>
      <c r="C11" s="75" t="s">
        <v>56</v>
      </c>
      <c r="D11" s="75" t="s">
        <v>57</v>
      </c>
      <c r="E11" s="75" t="s">
        <v>57</v>
      </c>
      <c r="F11" s="24"/>
      <c r="G11" s="24"/>
      <c r="H11" s="24"/>
      <c r="I11" s="24"/>
      <c r="J11" s="24"/>
      <c r="K11" s="24"/>
    </row>
    <row r="12" spans="1:11">
      <c r="A12" s="29" t="s">
        <v>58</v>
      </c>
      <c r="B12" s="30">
        <v>450000</v>
      </c>
      <c r="C12" s="31" t="s">
        <v>59</v>
      </c>
      <c r="D12" s="29" t="s">
        <v>60</v>
      </c>
      <c r="E12" s="32">
        <v>0.35</v>
      </c>
      <c r="F12" s="24"/>
      <c r="G12" s="24"/>
      <c r="H12" s="24"/>
      <c r="I12" s="24"/>
      <c r="J12" s="24"/>
      <c r="K12" s="24"/>
    </row>
    <row r="13" spans="1:11">
      <c r="A13" s="29" t="s">
        <v>61</v>
      </c>
      <c r="B13" s="30">
        <v>3000</v>
      </c>
      <c r="C13" s="31" t="s">
        <v>62</v>
      </c>
      <c r="D13" s="29" t="s">
        <v>63</v>
      </c>
      <c r="E13" s="33">
        <v>0.1</v>
      </c>
      <c r="F13" s="24"/>
      <c r="G13" s="24"/>
      <c r="H13" s="24"/>
      <c r="I13" s="24"/>
      <c r="J13" s="24"/>
      <c r="K13" s="24"/>
    </row>
    <row r="14" spans="1:11">
      <c r="A14" s="29" t="s">
        <v>64</v>
      </c>
      <c r="B14" s="30">
        <v>150</v>
      </c>
      <c r="C14" s="31" t="s">
        <v>62</v>
      </c>
      <c r="D14" s="29" t="s">
        <v>65</v>
      </c>
      <c r="E14" s="30">
        <v>700</v>
      </c>
      <c r="F14" s="24"/>
      <c r="G14" s="24"/>
      <c r="H14" s="24"/>
      <c r="I14" s="24"/>
      <c r="J14" s="24"/>
      <c r="K14" s="24"/>
    </row>
    <row r="15" spans="1:11">
      <c r="A15" s="29" t="s">
        <v>66</v>
      </c>
      <c r="B15" s="33">
        <v>0.92</v>
      </c>
      <c r="C15" s="31" t="s">
        <v>67</v>
      </c>
      <c r="D15" s="29" t="s">
        <v>68</v>
      </c>
      <c r="E15" s="30">
        <v>80</v>
      </c>
      <c r="F15" s="24"/>
      <c r="G15" s="24"/>
      <c r="H15" s="24"/>
      <c r="I15" s="24"/>
      <c r="J15" s="24"/>
      <c r="K15" s="24"/>
    </row>
    <row r="16" spans="1:11">
      <c r="A16" s="29" t="s">
        <v>69</v>
      </c>
      <c r="B16" s="33">
        <v>0.94</v>
      </c>
      <c r="C16" s="31" t="s">
        <v>67</v>
      </c>
      <c r="D16" s="29" t="s">
        <v>70</v>
      </c>
      <c r="E16" s="30">
        <v>600</v>
      </c>
      <c r="F16" s="24"/>
      <c r="G16" s="24"/>
      <c r="H16" s="24"/>
      <c r="I16" s="24"/>
      <c r="J16" s="24"/>
      <c r="K16" s="24"/>
    </row>
    <row r="17" spans="1:11">
      <c r="A17" s="29" t="s">
        <v>71</v>
      </c>
      <c r="B17" s="33">
        <v>0.01</v>
      </c>
      <c r="C17" s="31" t="s">
        <v>72</v>
      </c>
      <c r="D17" s="29" t="s">
        <v>73</v>
      </c>
      <c r="E17" s="33">
        <v>0.08</v>
      </c>
      <c r="F17" s="24"/>
      <c r="G17" s="24"/>
      <c r="H17" s="24"/>
      <c r="I17" s="24"/>
      <c r="J17" s="24"/>
      <c r="K17" s="24"/>
    </row>
    <row r="18" spans="1:11">
      <c r="A18" s="29" t="s">
        <v>74</v>
      </c>
      <c r="B18" s="33">
        <v>0.03</v>
      </c>
      <c r="C18" s="31" t="s">
        <v>67</v>
      </c>
      <c r="D18" s="29" t="s">
        <v>75</v>
      </c>
      <c r="E18" s="33">
        <v>0.04</v>
      </c>
      <c r="F18" s="24"/>
      <c r="G18" s="24"/>
      <c r="H18" s="24"/>
      <c r="I18" s="24"/>
      <c r="J18" s="24"/>
      <c r="K18" s="24"/>
    </row>
    <row r="19" spans="1:11">
      <c r="A19" s="29" t="s">
        <v>76</v>
      </c>
      <c r="B19" s="33">
        <v>0.03</v>
      </c>
      <c r="C19" s="31" t="s">
        <v>67</v>
      </c>
      <c r="D19" s="29" t="s">
        <v>77</v>
      </c>
      <c r="E19" s="33">
        <v>0.03</v>
      </c>
      <c r="F19" s="24"/>
      <c r="G19" s="24"/>
      <c r="H19" s="24"/>
      <c r="I19" s="24"/>
      <c r="J19" s="24"/>
      <c r="K19" s="24"/>
    </row>
    <row r="20" spans="1:11">
      <c r="A20" s="29" t="s">
        <v>78</v>
      </c>
      <c r="B20" s="33">
        <v>0.03</v>
      </c>
      <c r="C20" s="31" t="s">
        <v>67</v>
      </c>
      <c r="D20" s="29" t="s">
        <v>79</v>
      </c>
      <c r="E20" s="33">
        <v>0</v>
      </c>
      <c r="F20" s="24"/>
      <c r="G20" s="24"/>
      <c r="H20" s="24"/>
      <c r="I20" s="24"/>
      <c r="J20" s="24"/>
      <c r="K20" s="24"/>
    </row>
    <row r="21" spans="1:11">
      <c r="A21" s="29" t="s">
        <v>80</v>
      </c>
      <c r="B21" s="33">
        <v>0.1</v>
      </c>
      <c r="C21" s="31" t="s">
        <v>67</v>
      </c>
      <c r="D21" s="29" t="s">
        <v>81</v>
      </c>
      <c r="E21" s="33">
        <v>0.02</v>
      </c>
      <c r="F21" s="24"/>
      <c r="G21" s="24"/>
      <c r="H21" s="24"/>
      <c r="I21" s="24"/>
      <c r="J21" s="24"/>
      <c r="K21" s="24"/>
    </row>
    <row r="22" spans="1:11">
      <c r="A22" s="29" t="s">
        <v>82</v>
      </c>
      <c r="B22" s="33">
        <v>0.06</v>
      </c>
      <c r="C22" s="31" t="s">
        <v>67</v>
      </c>
      <c r="D22" s="29" t="s">
        <v>83</v>
      </c>
      <c r="E22" s="33">
        <v>0.01</v>
      </c>
      <c r="F22" s="24"/>
      <c r="G22" s="24"/>
      <c r="H22" s="24"/>
      <c r="I22" s="24"/>
      <c r="J22" s="24"/>
      <c r="K22" s="24"/>
    </row>
    <row r="23" spans="1:11">
      <c r="A23" s="29" t="s">
        <v>84</v>
      </c>
      <c r="B23" s="33">
        <v>0.03</v>
      </c>
      <c r="C23" s="31" t="s">
        <v>85</v>
      </c>
      <c r="D23" s="29" t="s">
        <v>86</v>
      </c>
      <c r="E23" s="30">
        <v>0</v>
      </c>
      <c r="F23" s="24"/>
      <c r="G23" s="24"/>
      <c r="H23" s="24"/>
      <c r="I23" s="24"/>
      <c r="J23" s="24"/>
      <c r="K23" s="24"/>
    </row>
    <row r="24" spans="1:11">
      <c r="A24" s="29" t="s">
        <v>87</v>
      </c>
      <c r="B24" s="34">
        <v>5</v>
      </c>
      <c r="C24" s="31" t="s">
        <v>88</v>
      </c>
      <c r="D24" s="29" t="s">
        <v>89</v>
      </c>
      <c r="E24" s="33">
        <v>0.8</v>
      </c>
      <c r="F24" s="24"/>
      <c r="G24" s="24"/>
      <c r="H24" s="24"/>
      <c r="I24" s="24"/>
      <c r="J24" s="24"/>
      <c r="K24" s="24"/>
    </row>
    <row r="25" spans="1:11">
      <c r="A25" s="29" t="s">
        <v>90</v>
      </c>
      <c r="B25" s="34">
        <v>12</v>
      </c>
      <c r="C25" s="31" t="s">
        <v>91</v>
      </c>
      <c r="D25" s="29" t="s">
        <v>92</v>
      </c>
      <c r="E25" s="33">
        <v>4.2500000000000003E-2</v>
      </c>
      <c r="F25" s="24"/>
      <c r="G25" s="24"/>
      <c r="H25" s="24"/>
      <c r="I25" s="24"/>
      <c r="J25" s="24"/>
      <c r="K25" s="24"/>
    </row>
    <row r="26" spans="1:11">
      <c r="A26" s="24"/>
      <c r="B26" s="24"/>
      <c r="C26" s="24"/>
      <c r="D26" s="29" t="s">
        <v>93</v>
      </c>
      <c r="E26" s="34">
        <v>30</v>
      </c>
      <c r="F26" s="24"/>
      <c r="G26" s="24"/>
      <c r="H26" s="24"/>
      <c r="I26" s="24"/>
      <c r="J26" s="24"/>
      <c r="K26" s="24"/>
    </row>
    <row r="27" spans="1:11">
      <c r="A27" s="24"/>
      <c r="B27" s="24"/>
      <c r="C27" s="24"/>
      <c r="D27" s="29" t="s">
        <v>94</v>
      </c>
      <c r="E27" s="33">
        <v>0</v>
      </c>
      <c r="F27" s="24"/>
      <c r="G27" s="24"/>
      <c r="H27" s="24"/>
      <c r="I27" s="24"/>
      <c r="J27" s="24"/>
      <c r="K27" s="24"/>
    </row>
    <row r="28" spans="1:11">
      <c r="A28" s="24"/>
      <c r="B28" s="24"/>
      <c r="C28" s="24"/>
      <c r="D28" s="29" t="s">
        <v>95</v>
      </c>
      <c r="E28" s="33">
        <v>0.15</v>
      </c>
      <c r="F28" s="24"/>
      <c r="G28" s="24"/>
      <c r="H28" s="24"/>
      <c r="I28" s="24"/>
      <c r="J28" s="24"/>
      <c r="K28" s="24"/>
    </row>
    <row r="29" spans="1:11">
      <c r="A29" s="24"/>
      <c r="B29" s="24"/>
      <c r="C29" s="24"/>
      <c r="D29" s="29" t="s">
        <v>96</v>
      </c>
      <c r="E29" s="35">
        <v>1.1000000000000001</v>
      </c>
      <c r="F29" s="24"/>
      <c r="G29" s="24"/>
      <c r="H29" s="24"/>
      <c r="I29" s="24"/>
      <c r="J29" s="24"/>
      <c r="K29" s="24"/>
    </row>
    <row r="30" spans="1:11">
      <c r="A30" s="24"/>
      <c r="B30" s="24"/>
      <c r="C30" s="24"/>
      <c r="D30" s="29" t="s">
        <v>97</v>
      </c>
      <c r="E30" s="30">
        <v>9000</v>
      </c>
      <c r="F30" s="24"/>
      <c r="G30" s="24"/>
      <c r="H30" s="24"/>
      <c r="I30" s="24"/>
      <c r="J30" s="24"/>
      <c r="K30" s="24"/>
    </row>
    <row r="31" spans="1:11">
      <c r="A31" s="24"/>
      <c r="B31" s="24"/>
      <c r="C31" s="24"/>
      <c r="D31" s="29" t="s">
        <v>98</v>
      </c>
      <c r="E31" s="30">
        <v>8000</v>
      </c>
      <c r="F31" s="24"/>
      <c r="G31" s="24"/>
      <c r="H31" s="24"/>
      <c r="I31" s="24"/>
      <c r="J31" s="24"/>
      <c r="K31" s="24"/>
    </row>
    <row r="32" spans="1:11">
      <c r="A32" s="24"/>
      <c r="B32" s="24"/>
      <c r="C32" s="24"/>
      <c r="D32" s="29" t="s">
        <v>99</v>
      </c>
      <c r="E32" s="30">
        <v>4000</v>
      </c>
      <c r="F32" s="24"/>
      <c r="G32" s="24"/>
      <c r="H32" s="24"/>
      <c r="I32" s="24"/>
      <c r="J32" s="24"/>
      <c r="K32" s="24"/>
    </row>
    <row r="33" spans="1:11">
      <c r="A33" s="24"/>
      <c r="B33" s="24"/>
      <c r="C33" s="24"/>
      <c r="D33" s="29" t="s">
        <v>100</v>
      </c>
      <c r="E33" s="30">
        <v>25000</v>
      </c>
      <c r="F33" s="24"/>
      <c r="G33" s="24"/>
      <c r="H33" s="24"/>
      <c r="I33" s="24"/>
      <c r="J33" s="24"/>
      <c r="K33" s="24"/>
    </row>
    <row r="34" spans="1:11">
      <c r="A34" s="24"/>
      <c r="B34" s="24"/>
      <c r="C34" s="24"/>
      <c r="D34" s="29" t="s">
        <v>101</v>
      </c>
      <c r="E34" s="30">
        <v>5000</v>
      </c>
      <c r="F34" s="24"/>
      <c r="G34" s="24"/>
      <c r="H34" s="24"/>
      <c r="I34" s="24"/>
      <c r="J34" s="24"/>
      <c r="K34" s="24"/>
    </row>
    <row r="35" spans="1:11">
      <c r="A35" s="24"/>
      <c r="B35" s="24"/>
      <c r="C35" s="24"/>
      <c r="D35" s="24" t="s">
        <v>102</v>
      </c>
      <c r="E35" s="24"/>
      <c r="F35" s="24"/>
      <c r="G35" s="24"/>
      <c r="H35" s="24"/>
      <c r="I35" s="24"/>
      <c r="J35" s="24"/>
      <c r="K35" s="24"/>
    </row>
    <row r="36" spans="1:11">
      <c r="A36" s="24"/>
      <c r="B36" s="24"/>
      <c r="C36" s="24"/>
      <c r="D36" s="24"/>
      <c r="E36" s="24"/>
      <c r="F36" s="24"/>
      <c r="G36" s="24"/>
      <c r="H36" s="24"/>
      <c r="I36" s="24"/>
      <c r="J36" s="24"/>
      <c r="K36" s="24"/>
    </row>
    <row r="37" spans="1:11" ht="20.100000000000001" customHeight="1">
      <c r="A37" s="76" t="s">
        <v>103</v>
      </c>
      <c r="B37" s="76" t="s">
        <v>103</v>
      </c>
      <c r="C37" s="76" t="s">
        <v>103</v>
      </c>
      <c r="D37" s="76" t="s">
        <v>103</v>
      </c>
      <c r="E37" s="76" t="s">
        <v>103</v>
      </c>
      <c r="F37" s="76" t="s">
        <v>103</v>
      </c>
      <c r="G37" s="76" t="s">
        <v>103</v>
      </c>
      <c r="H37" s="76" t="s">
        <v>103</v>
      </c>
      <c r="I37" s="76" t="s">
        <v>103</v>
      </c>
      <c r="J37" s="76" t="s">
        <v>103</v>
      </c>
      <c r="K37" s="76" t="s">
        <v>103</v>
      </c>
    </row>
    <row r="38" spans="1:11" ht="27.95" customHeight="1">
      <c r="A38" s="36" t="s">
        <v>104</v>
      </c>
      <c r="B38" s="36" t="s">
        <v>105</v>
      </c>
      <c r="C38" s="36" t="s">
        <v>106</v>
      </c>
      <c r="D38" s="36" t="s">
        <v>107</v>
      </c>
      <c r="E38" s="36"/>
      <c r="F38" s="36" t="s">
        <v>108</v>
      </c>
      <c r="G38" s="36" t="s">
        <v>109</v>
      </c>
      <c r="H38" s="36" t="s">
        <v>110</v>
      </c>
      <c r="I38" s="36" t="s">
        <v>111</v>
      </c>
      <c r="J38" s="36" t="s">
        <v>112</v>
      </c>
      <c r="K38" s="36" t="s">
        <v>113</v>
      </c>
    </row>
    <row r="39" spans="1:11">
      <c r="A39" s="24" t="s">
        <v>114</v>
      </c>
      <c r="B39" s="24" t="s">
        <v>115</v>
      </c>
      <c r="C39" s="24" t="s">
        <v>62</v>
      </c>
      <c r="D39" s="24" t="s">
        <v>116</v>
      </c>
      <c r="E39" s="24"/>
      <c r="F39" s="37">
        <f>$B$13</f>
        <v>3000</v>
      </c>
      <c r="G39" s="37">
        <f>F39*(1+$B$18)</f>
        <v>3090</v>
      </c>
      <c r="H39" s="37">
        <f>G39*(1+$B$18)</f>
        <v>3182.7000000000003</v>
      </c>
      <c r="I39" s="37">
        <f>H39*(1+$B$18)</f>
        <v>3278.1810000000005</v>
      </c>
      <c r="J39" s="37">
        <f>I39*(1+$B$18)</f>
        <v>3376.5264300000008</v>
      </c>
      <c r="K39" s="37">
        <f>J39*(1+$B$18)</f>
        <v>3477.8222229000007</v>
      </c>
    </row>
    <row r="40" spans="1:11">
      <c r="A40" s="24" t="s">
        <v>117</v>
      </c>
      <c r="B40" s="24" t="s">
        <v>118</v>
      </c>
      <c r="C40" s="24" t="s">
        <v>119</v>
      </c>
      <c r="D40" s="24" t="s">
        <v>120</v>
      </c>
      <c r="E40" s="24"/>
      <c r="F40" s="37">
        <f t="shared" ref="F40:K40" si="0">F39*$B$25</f>
        <v>36000</v>
      </c>
      <c r="G40" s="37">
        <f t="shared" si="0"/>
        <v>37080</v>
      </c>
      <c r="H40" s="37">
        <f t="shared" si="0"/>
        <v>38192.400000000001</v>
      </c>
      <c r="I40" s="37">
        <f t="shared" si="0"/>
        <v>39338.172000000006</v>
      </c>
      <c r="J40" s="37">
        <f t="shared" si="0"/>
        <v>40518.317160000006</v>
      </c>
      <c r="K40" s="37">
        <f t="shared" si="0"/>
        <v>41733.866674800011</v>
      </c>
    </row>
    <row r="41" spans="1:11">
      <c r="A41" s="24" t="s">
        <v>121</v>
      </c>
      <c r="B41" s="24" t="s">
        <v>122</v>
      </c>
      <c r="C41" s="24" t="s">
        <v>67</v>
      </c>
      <c r="D41" s="24" t="s">
        <v>123</v>
      </c>
      <c r="E41" s="24"/>
      <c r="F41" s="38">
        <f>MIN($B$16,$B$15+(0)*$B$17)</f>
        <v>0.92</v>
      </c>
      <c r="G41" s="38">
        <f>MIN($B$16,$B$15+(1)*$B$17)</f>
        <v>0.93</v>
      </c>
      <c r="H41" s="38">
        <f>MIN($B$16,$B$15+(2)*$B$17)</f>
        <v>0.94</v>
      </c>
      <c r="I41" s="38">
        <f>MIN($B$16,$B$15+(3)*$B$17)</f>
        <v>0.94</v>
      </c>
      <c r="J41" s="38">
        <f>MIN($B$16,$B$15+(4)*$B$17)</f>
        <v>0.94</v>
      </c>
      <c r="K41" s="38">
        <f>MIN($B$16,$B$15+(5)*$B$17)</f>
        <v>0.94</v>
      </c>
    </row>
    <row r="42" spans="1:11">
      <c r="A42" s="24" t="s">
        <v>124</v>
      </c>
      <c r="B42" s="24" t="s">
        <v>125</v>
      </c>
      <c r="C42" s="24" t="s">
        <v>119</v>
      </c>
      <c r="D42" s="24" t="s">
        <v>120</v>
      </c>
      <c r="E42" s="24"/>
      <c r="F42" s="37">
        <f t="shared" ref="F42:K42" si="1">-F40*(1-F41)</f>
        <v>-2879.9999999999986</v>
      </c>
      <c r="G42" s="37">
        <f t="shared" si="1"/>
        <v>-2595.5999999999981</v>
      </c>
      <c r="H42" s="37">
        <f t="shared" si="1"/>
        <v>-2291.5440000000021</v>
      </c>
      <c r="I42" s="37">
        <f t="shared" si="1"/>
        <v>-2360.2903200000023</v>
      </c>
      <c r="J42" s="37">
        <f t="shared" si="1"/>
        <v>-2431.0990296000027</v>
      </c>
      <c r="K42" s="37">
        <f t="shared" si="1"/>
        <v>-2504.0320004880027</v>
      </c>
    </row>
    <row r="43" spans="1:11">
      <c r="A43" s="24" t="s">
        <v>126</v>
      </c>
      <c r="B43" s="24" t="s">
        <v>127</v>
      </c>
      <c r="C43" s="24" t="s">
        <v>119</v>
      </c>
      <c r="D43" s="24" t="s">
        <v>123</v>
      </c>
      <c r="E43" s="24"/>
      <c r="F43" s="37">
        <f>$B$14*$B$25</f>
        <v>1800</v>
      </c>
      <c r="G43" s="37">
        <f>F43*(1+$B$19)</f>
        <v>1854</v>
      </c>
      <c r="H43" s="37">
        <f>G43*(1+$B$19)</f>
        <v>1909.6200000000001</v>
      </c>
      <c r="I43" s="37">
        <f>H43*(1+$B$19)</f>
        <v>1966.9086000000002</v>
      </c>
      <c r="J43" s="37">
        <f>I43*(1+$B$19)</f>
        <v>2025.9158580000003</v>
      </c>
      <c r="K43" s="37">
        <f>J43*(1+$B$19)</f>
        <v>2086.6933337400005</v>
      </c>
    </row>
    <row r="44" spans="1:11">
      <c r="A44" s="39" t="s">
        <v>128</v>
      </c>
      <c r="B44" s="39" t="s">
        <v>129</v>
      </c>
      <c r="C44" s="39" t="s">
        <v>119</v>
      </c>
      <c r="D44" s="39" t="s">
        <v>120</v>
      </c>
      <c r="E44" s="39"/>
      <c r="F44" s="40">
        <f t="shared" ref="F44:K44" si="2">SUM(F40,F42:F43)</f>
        <v>34920</v>
      </c>
      <c r="G44" s="40">
        <f t="shared" si="2"/>
        <v>36338.400000000001</v>
      </c>
      <c r="H44" s="40">
        <f t="shared" si="2"/>
        <v>37810.476000000002</v>
      </c>
      <c r="I44" s="40">
        <f t="shared" si="2"/>
        <v>38944.790280000008</v>
      </c>
      <c r="J44" s="40">
        <f t="shared" si="2"/>
        <v>40113.133988400004</v>
      </c>
      <c r="K44" s="40">
        <f t="shared" si="2"/>
        <v>41316.528008052002</v>
      </c>
    </row>
    <row r="45" spans="1:11">
      <c r="A45" s="24"/>
      <c r="B45" s="24"/>
      <c r="C45" s="24"/>
      <c r="D45" s="24"/>
      <c r="E45" s="24"/>
      <c r="F45" s="37"/>
      <c r="G45" s="37"/>
      <c r="H45" s="37"/>
      <c r="I45" s="37"/>
      <c r="J45" s="37"/>
      <c r="K45" s="37"/>
    </row>
    <row r="46" spans="1:11">
      <c r="A46" s="41" t="s">
        <v>130</v>
      </c>
      <c r="B46" s="41"/>
      <c r="C46" s="41"/>
      <c r="D46" s="41"/>
      <c r="E46" s="41"/>
      <c r="F46" s="42"/>
      <c r="G46" s="42"/>
      <c r="H46" s="42"/>
      <c r="I46" s="42"/>
      <c r="J46" s="42"/>
      <c r="K46" s="42"/>
    </row>
    <row r="47" spans="1:11">
      <c r="A47" s="24" t="s">
        <v>131</v>
      </c>
      <c r="B47" s="24" t="s">
        <v>132</v>
      </c>
      <c r="C47" s="24" t="s">
        <v>119</v>
      </c>
      <c r="D47" s="24" t="s">
        <v>133</v>
      </c>
      <c r="E47" s="24"/>
      <c r="F47" s="37">
        <f>-$B$7*$E$12*$B$25*(1+$E$13)</f>
        <v>-4620</v>
      </c>
      <c r="G47" s="37">
        <f t="shared" ref="G47:K50" si="3">F47*(1+$B$20)</f>
        <v>-4758.6000000000004</v>
      </c>
      <c r="H47" s="37">
        <f t="shared" si="3"/>
        <v>-4901.3580000000002</v>
      </c>
      <c r="I47" s="37">
        <f t="shared" si="3"/>
        <v>-5048.3987400000005</v>
      </c>
      <c r="J47" s="37">
        <f t="shared" si="3"/>
        <v>-5199.8507022000003</v>
      </c>
      <c r="K47" s="37">
        <f t="shared" si="3"/>
        <v>-5355.8462232660004</v>
      </c>
    </row>
    <row r="48" spans="1:11">
      <c r="A48" s="24" t="s">
        <v>134</v>
      </c>
      <c r="B48" s="24" t="s">
        <v>135</v>
      </c>
      <c r="C48" s="24" t="s">
        <v>119</v>
      </c>
      <c r="D48" s="24" t="s">
        <v>136</v>
      </c>
      <c r="E48" s="24"/>
      <c r="F48" s="37">
        <f>-$E$14</f>
        <v>-700</v>
      </c>
      <c r="G48" s="37">
        <f t="shared" si="3"/>
        <v>-721</v>
      </c>
      <c r="H48" s="37">
        <f t="shared" si="3"/>
        <v>-742.63</v>
      </c>
      <c r="I48" s="37">
        <f t="shared" si="3"/>
        <v>-764.90890000000002</v>
      </c>
      <c r="J48" s="37">
        <f t="shared" si="3"/>
        <v>-787.85616700000003</v>
      </c>
      <c r="K48" s="37">
        <f t="shared" si="3"/>
        <v>-811.49185201</v>
      </c>
    </row>
    <row r="49" spans="1:11">
      <c r="A49" s="24" t="s">
        <v>137</v>
      </c>
      <c r="B49" s="24" t="s">
        <v>135</v>
      </c>
      <c r="C49" s="24" t="s">
        <v>119</v>
      </c>
      <c r="D49" s="24" t="s">
        <v>138</v>
      </c>
      <c r="E49" s="24"/>
      <c r="F49" s="37">
        <f>-$E$15</f>
        <v>-80</v>
      </c>
      <c r="G49" s="37">
        <f t="shared" si="3"/>
        <v>-82.4</v>
      </c>
      <c r="H49" s="37">
        <f t="shared" si="3"/>
        <v>-84.872000000000014</v>
      </c>
      <c r="I49" s="37">
        <f t="shared" si="3"/>
        <v>-87.418160000000015</v>
      </c>
      <c r="J49" s="37">
        <f t="shared" si="3"/>
        <v>-90.040704800000015</v>
      </c>
      <c r="K49" s="37">
        <f t="shared" si="3"/>
        <v>-92.741925944000016</v>
      </c>
    </row>
    <row r="50" spans="1:11">
      <c r="A50" s="24" t="s">
        <v>139</v>
      </c>
      <c r="B50" s="24" t="s">
        <v>135</v>
      </c>
      <c r="C50" s="24" t="s">
        <v>119</v>
      </c>
      <c r="D50" s="24" t="s">
        <v>140</v>
      </c>
      <c r="E50" s="24"/>
      <c r="F50" s="37">
        <f>-$E$16</f>
        <v>-600</v>
      </c>
      <c r="G50" s="37">
        <f t="shared" si="3"/>
        <v>-618</v>
      </c>
      <c r="H50" s="37">
        <f t="shared" si="3"/>
        <v>-636.54</v>
      </c>
      <c r="I50" s="37">
        <f t="shared" si="3"/>
        <v>-655.63620000000003</v>
      </c>
      <c r="J50" s="37">
        <f t="shared" si="3"/>
        <v>-675.30528600000002</v>
      </c>
      <c r="K50" s="37">
        <f t="shared" si="3"/>
        <v>-695.56444457999999</v>
      </c>
    </row>
    <row r="51" spans="1:11">
      <c r="A51" s="24" t="s">
        <v>73</v>
      </c>
      <c r="B51" s="24" t="s">
        <v>141</v>
      </c>
      <c r="C51" s="24" t="s">
        <v>119</v>
      </c>
      <c r="D51" s="24" t="s">
        <v>123</v>
      </c>
      <c r="E51" s="24"/>
      <c r="F51" s="37">
        <f t="shared" ref="F51:K51" si="4">-F44*$E$17</f>
        <v>-2793.6</v>
      </c>
      <c r="G51" s="37">
        <f t="shared" si="4"/>
        <v>-2907.0720000000001</v>
      </c>
      <c r="H51" s="37">
        <f t="shared" si="4"/>
        <v>-3024.8380800000004</v>
      </c>
      <c r="I51" s="37">
        <f t="shared" si="4"/>
        <v>-3115.5832224000005</v>
      </c>
      <c r="J51" s="37">
        <f t="shared" si="4"/>
        <v>-3209.0507190720004</v>
      </c>
      <c r="K51" s="37">
        <f t="shared" si="4"/>
        <v>-3305.32224064416</v>
      </c>
    </row>
    <row r="52" spans="1:11">
      <c r="A52" s="24" t="s">
        <v>75</v>
      </c>
      <c r="B52" s="24" t="s">
        <v>141</v>
      </c>
      <c r="C52" s="24" t="s">
        <v>119</v>
      </c>
      <c r="D52" s="24" t="s">
        <v>123</v>
      </c>
      <c r="E52" s="24"/>
      <c r="F52" s="37">
        <f t="shared" ref="F52:K52" si="5">-F44*$E$18</f>
        <v>-1396.8</v>
      </c>
      <c r="G52" s="37">
        <f t="shared" si="5"/>
        <v>-1453.5360000000001</v>
      </c>
      <c r="H52" s="37">
        <f t="shared" si="5"/>
        <v>-1512.4190400000002</v>
      </c>
      <c r="I52" s="37">
        <f t="shared" si="5"/>
        <v>-1557.7916112000003</v>
      </c>
      <c r="J52" s="37">
        <f t="shared" si="5"/>
        <v>-1604.5253595360002</v>
      </c>
      <c r="K52" s="37">
        <f t="shared" si="5"/>
        <v>-1652.66112032208</v>
      </c>
    </row>
    <row r="53" spans="1:11">
      <c r="A53" s="24" t="s">
        <v>142</v>
      </c>
      <c r="B53" s="24" t="s">
        <v>141</v>
      </c>
      <c r="C53" s="24" t="s">
        <v>119</v>
      </c>
      <c r="D53" s="24" t="s">
        <v>123</v>
      </c>
      <c r="E53" s="24"/>
      <c r="F53" s="37">
        <f t="shared" ref="F53:K53" si="6">-F44*$E$19</f>
        <v>-1047.5999999999999</v>
      </c>
      <c r="G53" s="37">
        <f t="shared" si="6"/>
        <v>-1090.152</v>
      </c>
      <c r="H53" s="37">
        <f t="shared" si="6"/>
        <v>-1134.3142800000001</v>
      </c>
      <c r="I53" s="37">
        <f t="shared" si="6"/>
        <v>-1168.3437084000002</v>
      </c>
      <c r="J53" s="37">
        <f t="shared" si="6"/>
        <v>-1203.394019652</v>
      </c>
      <c r="K53" s="37">
        <f t="shared" si="6"/>
        <v>-1239.49584024156</v>
      </c>
    </row>
    <row r="54" spans="1:11">
      <c r="A54" s="24" t="s">
        <v>79</v>
      </c>
      <c r="B54" s="24" t="s">
        <v>141</v>
      </c>
      <c r="C54" s="24" t="s">
        <v>119</v>
      </c>
      <c r="D54" s="24" t="s">
        <v>143</v>
      </c>
      <c r="E54" s="24"/>
      <c r="F54" s="37">
        <f t="shared" ref="F54:K54" si="7">-F44*$E$20</f>
        <v>0</v>
      </c>
      <c r="G54" s="37">
        <f t="shared" si="7"/>
        <v>0</v>
      </c>
      <c r="H54" s="37">
        <f t="shared" si="7"/>
        <v>0</v>
      </c>
      <c r="I54" s="37">
        <f t="shared" si="7"/>
        <v>0</v>
      </c>
      <c r="J54" s="37">
        <f t="shared" si="7"/>
        <v>0</v>
      </c>
      <c r="K54" s="37">
        <f t="shared" si="7"/>
        <v>0</v>
      </c>
    </row>
    <row r="55" spans="1:11">
      <c r="A55" s="24" t="s">
        <v>81</v>
      </c>
      <c r="B55" s="24" t="s">
        <v>141</v>
      </c>
      <c r="C55" s="24" t="s">
        <v>119</v>
      </c>
      <c r="D55" s="24" t="s">
        <v>123</v>
      </c>
      <c r="E55" s="24"/>
      <c r="F55" s="37">
        <f t="shared" ref="F55:K55" si="8">-F44*$E$21</f>
        <v>-698.4</v>
      </c>
      <c r="G55" s="37">
        <f t="shared" si="8"/>
        <v>-726.76800000000003</v>
      </c>
      <c r="H55" s="37">
        <f t="shared" si="8"/>
        <v>-756.20952000000011</v>
      </c>
      <c r="I55" s="37">
        <f t="shared" si="8"/>
        <v>-778.89580560000013</v>
      </c>
      <c r="J55" s="37">
        <f t="shared" si="8"/>
        <v>-802.26267976800011</v>
      </c>
      <c r="K55" s="37">
        <f t="shared" si="8"/>
        <v>-826.33056016104001</v>
      </c>
    </row>
    <row r="56" spans="1:11">
      <c r="A56" s="24" t="s">
        <v>144</v>
      </c>
      <c r="B56" s="24" t="s">
        <v>141</v>
      </c>
      <c r="C56" s="24" t="s">
        <v>119</v>
      </c>
      <c r="D56" s="24" t="s">
        <v>123</v>
      </c>
      <c r="E56" s="24"/>
      <c r="F56" s="37">
        <f t="shared" ref="F56:K56" si="9">-F44*$E$22</f>
        <v>-349.2</v>
      </c>
      <c r="G56" s="37">
        <f t="shared" si="9"/>
        <v>-363.38400000000001</v>
      </c>
      <c r="H56" s="37">
        <f t="shared" si="9"/>
        <v>-378.10476000000006</v>
      </c>
      <c r="I56" s="37">
        <f t="shared" si="9"/>
        <v>-389.44790280000007</v>
      </c>
      <c r="J56" s="37">
        <f t="shared" si="9"/>
        <v>-401.13133988400006</v>
      </c>
      <c r="K56" s="37">
        <f t="shared" si="9"/>
        <v>-413.16528008052001</v>
      </c>
    </row>
    <row r="57" spans="1:11">
      <c r="A57" s="24" t="s">
        <v>145</v>
      </c>
      <c r="B57" s="24" t="s">
        <v>135</v>
      </c>
      <c r="C57" s="24" t="s">
        <v>119</v>
      </c>
      <c r="D57" s="24" t="s">
        <v>146</v>
      </c>
      <c r="E57" s="24"/>
      <c r="F57" s="37">
        <f>-$E$23</f>
        <v>0</v>
      </c>
      <c r="G57" s="37">
        <f>F57*(1+$B$20)</f>
        <v>0</v>
      </c>
      <c r="H57" s="37">
        <f>G57*(1+$B$20)</f>
        <v>0</v>
      </c>
      <c r="I57" s="37">
        <f>H57*(1+$B$20)</f>
        <v>0</v>
      </c>
      <c r="J57" s="37">
        <f>I57*(1+$B$20)</f>
        <v>0</v>
      </c>
      <c r="K57" s="37">
        <f>J57*(1+$B$20)</f>
        <v>0</v>
      </c>
    </row>
    <row r="58" spans="1:11">
      <c r="A58" s="43" t="s">
        <v>147</v>
      </c>
      <c r="B58" s="43" t="s">
        <v>148</v>
      </c>
      <c r="C58" s="43" t="s">
        <v>119</v>
      </c>
      <c r="D58" s="43" t="s">
        <v>120</v>
      </c>
      <c r="E58" s="43"/>
      <c r="F58" s="44">
        <f t="shared" ref="F58:K58" si="10">SUM(F47:F57)</f>
        <v>-12285.6</v>
      </c>
      <c r="G58" s="44">
        <f t="shared" si="10"/>
        <v>-12720.912</v>
      </c>
      <c r="H58" s="44">
        <f t="shared" si="10"/>
        <v>-13171.285680000003</v>
      </c>
      <c r="I58" s="44">
        <f t="shared" si="10"/>
        <v>-13566.424250400001</v>
      </c>
      <c r="J58" s="44">
        <f t="shared" si="10"/>
        <v>-13973.416977912</v>
      </c>
      <c r="K58" s="44">
        <f t="shared" si="10"/>
        <v>-14392.619487249362</v>
      </c>
    </row>
    <row r="59" spans="1:11">
      <c r="A59" s="24"/>
      <c r="B59" s="24"/>
      <c r="C59" s="24"/>
      <c r="D59" s="24"/>
      <c r="E59" s="24"/>
      <c r="F59" s="37"/>
      <c r="G59" s="37"/>
      <c r="H59" s="37"/>
      <c r="I59" s="37"/>
      <c r="J59" s="37"/>
      <c r="K59" s="37"/>
    </row>
    <row r="60" spans="1:11">
      <c r="A60" s="39" t="s">
        <v>149</v>
      </c>
      <c r="B60" s="39" t="s">
        <v>150</v>
      </c>
      <c r="C60" s="39" t="s">
        <v>119</v>
      </c>
      <c r="D60" s="39" t="s">
        <v>120</v>
      </c>
      <c r="E60" s="39"/>
      <c r="F60" s="40">
        <f t="shared" ref="F60:K60" si="11">F44+F58</f>
        <v>22634.400000000001</v>
      </c>
      <c r="G60" s="40">
        <f t="shared" si="11"/>
        <v>23617.488000000001</v>
      </c>
      <c r="H60" s="40">
        <f t="shared" si="11"/>
        <v>24639.190320000002</v>
      </c>
      <c r="I60" s="40">
        <f t="shared" si="11"/>
        <v>25378.366029600009</v>
      </c>
      <c r="J60" s="40">
        <f t="shared" si="11"/>
        <v>26139.717010488006</v>
      </c>
      <c r="K60" s="40">
        <f t="shared" si="11"/>
        <v>26923.908520802641</v>
      </c>
    </row>
    <row r="61" spans="1:11">
      <c r="A61" s="24" t="s">
        <v>151</v>
      </c>
      <c r="B61" s="24" t="s">
        <v>152</v>
      </c>
      <c r="C61" s="24" t="s">
        <v>67</v>
      </c>
      <c r="D61" s="24" t="s">
        <v>120</v>
      </c>
      <c r="E61" s="24"/>
      <c r="F61" s="38">
        <f t="shared" ref="F61:K61" si="12">IFERROR(F60/F44,"")</f>
        <v>0.64817869415807561</v>
      </c>
      <c r="G61" s="38">
        <f t="shared" si="12"/>
        <v>0.64993197278911563</v>
      </c>
      <c r="H61" s="38">
        <f t="shared" si="12"/>
        <v>0.6516498316498317</v>
      </c>
      <c r="I61" s="38">
        <f t="shared" si="12"/>
        <v>0.6516498316498317</v>
      </c>
      <c r="J61" s="38">
        <f t="shared" si="12"/>
        <v>0.6516498316498317</v>
      </c>
      <c r="K61" s="38">
        <f t="shared" si="12"/>
        <v>0.65164983164983159</v>
      </c>
    </row>
    <row r="62" spans="1:11">
      <c r="A62" s="24" t="s">
        <v>80</v>
      </c>
      <c r="B62" s="24" t="s">
        <v>153</v>
      </c>
      <c r="C62" s="24" t="s">
        <v>67</v>
      </c>
      <c r="D62" s="24" t="s">
        <v>123</v>
      </c>
      <c r="E62" s="24"/>
      <c r="F62" s="38">
        <f>$B$21</f>
        <v>0.1</v>
      </c>
      <c r="G62" s="38">
        <f>$B$21</f>
        <v>0.1</v>
      </c>
      <c r="H62" s="38">
        <f>$B$21</f>
        <v>0.1</v>
      </c>
      <c r="I62" s="38">
        <f>$B$21</f>
        <v>0.1</v>
      </c>
      <c r="J62" s="38">
        <f>$B$21</f>
        <v>0.1</v>
      </c>
      <c r="K62" s="38"/>
    </row>
    <row r="63" spans="1:11">
      <c r="A63" s="24" t="s">
        <v>154</v>
      </c>
      <c r="B63" s="24" t="s">
        <v>155</v>
      </c>
      <c r="C63" s="24" t="s">
        <v>88</v>
      </c>
      <c r="D63" s="24" t="s">
        <v>120</v>
      </c>
      <c r="E63" s="24"/>
      <c r="F63" s="45">
        <v>1</v>
      </c>
      <c r="G63" s="45">
        <v>2</v>
      </c>
      <c r="H63" s="45">
        <v>3</v>
      </c>
      <c r="I63" s="45">
        <v>4</v>
      </c>
      <c r="J63" s="45">
        <v>5</v>
      </c>
      <c r="K63" s="24"/>
    </row>
    <row r="64" spans="1:11">
      <c r="A64" s="24" t="s">
        <v>156</v>
      </c>
      <c r="B64" s="24" t="s">
        <v>157</v>
      </c>
      <c r="C64" s="24" t="s">
        <v>158</v>
      </c>
      <c r="D64" s="24" t="s">
        <v>120</v>
      </c>
      <c r="E64" s="24"/>
      <c r="F64" s="46">
        <f>1/(1+F62)^F63</f>
        <v>0.90909090909090906</v>
      </c>
      <c r="G64" s="46">
        <f>1/(1+G62)^G63</f>
        <v>0.82644628099173545</v>
      </c>
      <c r="H64" s="46">
        <f>1/(1+H62)^H63</f>
        <v>0.75131480090157754</v>
      </c>
      <c r="I64" s="46">
        <f>1/(1+I62)^I63</f>
        <v>0.68301345536507052</v>
      </c>
      <c r="J64" s="46">
        <f>1/(1+J62)^J63</f>
        <v>0.62092132305915493</v>
      </c>
      <c r="K64" s="24"/>
    </row>
    <row r="65" spans="1:11">
      <c r="A65" s="43" t="s">
        <v>159</v>
      </c>
      <c r="B65" s="43" t="s">
        <v>160</v>
      </c>
      <c r="C65" s="43" t="s">
        <v>59</v>
      </c>
      <c r="D65" s="43" t="s">
        <v>120</v>
      </c>
      <c r="E65" s="43"/>
      <c r="F65" s="44">
        <f>F60*F64</f>
        <v>20576.727272727272</v>
      </c>
      <c r="G65" s="44">
        <f>G60*G64</f>
        <v>19518.585123966943</v>
      </c>
      <c r="H65" s="44">
        <f>H60*H64</f>
        <v>18511.788369646878</v>
      </c>
      <c r="I65" s="44">
        <f>I60*I64</f>
        <v>17333.765473396626</v>
      </c>
      <c r="J65" s="44">
        <f>J60*J64</f>
        <v>16230.70767054411</v>
      </c>
      <c r="K65" s="24"/>
    </row>
    <row r="66" spans="1:11">
      <c r="A66" s="24"/>
      <c r="B66" s="24"/>
      <c r="C66" s="24"/>
      <c r="D66" s="24"/>
      <c r="E66" s="24"/>
      <c r="F66" s="24"/>
      <c r="G66" s="24"/>
      <c r="H66" s="24"/>
      <c r="I66" s="24"/>
      <c r="J66" s="24"/>
      <c r="K66" s="24"/>
    </row>
    <row r="67" spans="1:11">
      <c r="A67" s="24" t="s">
        <v>82</v>
      </c>
      <c r="B67" s="24" t="s">
        <v>161</v>
      </c>
      <c r="C67" s="24" t="s">
        <v>67</v>
      </c>
      <c r="D67" s="24" t="s">
        <v>123</v>
      </c>
      <c r="E67" s="24"/>
      <c r="F67" s="24"/>
      <c r="G67" s="24"/>
      <c r="H67" s="24"/>
      <c r="I67" s="24"/>
      <c r="J67" s="24"/>
      <c r="K67" s="38">
        <f>$B$22</f>
        <v>0.06</v>
      </c>
    </row>
    <row r="68" spans="1:11">
      <c r="A68" s="24" t="s">
        <v>162</v>
      </c>
      <c r="B68" s="24" t="s">
        <v>163</v>
      </c>
      <c r="C68" s="24" t="s">
        <v>59</v>
      </c>
      <c r="D68" s="24" t="s">
        <v>120</v>
      </c>
      <c r="E68" s="24"/>
      <c r="F68" s="24"/>
      <c r="G68" s="24"/>
      <c r="H68" s="24"/>
      <c r="I68" s="24"/>
      <c r="J68" s="24"/>
      <c r="K68" s="37">
        <f>(K60/K67)*(1-$B$23)</f>
        <v>435269.85441964271</v>
      </c>
    </row>
    <row r="69" spans="1:11">
      <c r="A69" s="47" t="s">
        <v>164</v>
      </c>
      <c r="B69" s="48">
        <f>SUM(F65:J65)+K69</f>
        <v>362439.90780429216</v>
      </c>
      <c r="C69" s="47" t="s">
        <v>59</v>
      </c>
      <c r="D69" s="47" t="s">
        <v>120</v>
      </c>
      <c r="E69" s="47"/>
      <c r="F69" s="47"/>
      <c r="G69" s="47"/>
      <c r="H69" s="47"/>
      <c r="I69" s="47"/>
      <c r="J69" s="47"/>
      <c r="K69" s="48">
        <f>K68/(1+$B$21)^$B$24</f>
        <v>270268.33389401034</v>
      </c>
    </row>
    <row r="70" spans="1:11">
      <c r="A70" s="39" t="s">
        <v>30</v>
      </c>
      <c r="B70" s="40">
        <f>IFERROR(B69/$B$7,"")</f>
        <v>362.43990780429215</v>
      </c>
      <c r="C70" s="39" t="s">
        <v>165</v>
      </c>
      <c r="D70" s="39" t="s">
        <v>120</v>
      </c>
      <c r="E70" s="39"/>
      <c r="F70" s="39"/>
      <c r="G70" s="39"/>
      <c r="H70" s="39"/>
      <c r="I70" s="39"/>
      <c r="J70" s="39"/>
      <c r="K70" s="39"/>
    </row>
    <row r="71" spans="1:11">
      <c r="A71" s="39" t="s">
        <v>39</v>
      </c>
      <c r="B71" s="49">
        <f>IFERROR(K69/B69,"")</f>
        <v>0.74569143208133692</v>
      </c>
      <c r="C71" s="39" t="s">
        <v>67</v>
      </c>
      <c r="D71" s="39" t="s">
        <v>120</v>
      </c>
      <c r="E71" s="39"/>
      <c r="F71" s="39"/>
      <c r="G71" s="39"/>
      <c r="H71" s="39"/>
      <c r="I71" s="39"/>
      <c r="J71" s="39"/>
      <c r="K71" s="39"/>
    </row>
    <row r="72" spans="1:11">
      <c r="A72" s="24"/>
      <c r="B72" s="24"/>
      <c r="C72" s="24"/>
      <c r="D72" s="24"/>
      <c r="E72" s="24"/>
      <c r="F72" s="24"/>
      <c r="G72" s="24"/>
      <c r="H72" s="24"/>
      <c r="I72" s="24"/>
      <c r="J72" s="24"/>
      <c r="K72" s="24"/>
    </row>
    <row r="73" spans="1:11" ht="20.100000000000001" customHeight="1">
      <c r="A73" s="75" t="s">
        <v>166</v>
      </c>
      <c r="B73" s="75" t="s">
        <v>166</v>
      </c>
      <c r="C73" s="75" t="s">
        <v>166</v>
      </c>
      <c r="D73" s="75" t="s">
        <v>166</v>
      </c>
      <c r="E73" s="75" t="s">
        <v>166</v>
      </c>
      <c r="F73" s="75" t="s">
        <v>166</v>
      </c>
      <c r="G73" s="75" t="s">
        <v>166</v>
      </c>
      <c r="H73" s="75" t="s">
        <v>166</v>
      </c>
      <c r="I73" s="75" t="s">
        <v>166</v>
      </c>
      <c r="J73" s="75" t="s">
        <v>166</v>
      </c>
      <c r="K73" s="75" t="s">
        <v>166</v>
      </c>
    </row>
    <row r="74" spans="1:11">
      <c r="A74" s="29" t="s">
        <v>58</v>
      </c>
      <c r="B74" s="50">
        <f>$B$12</f>
        <v>450000</v>
      </c>
      <c r="C74" s="24"/>
      <c r="D74" s="24"/>
      <c r="E74" s="24"/>
      <c r="F74" s="24"/>
      <c r="G74" s="24"/>
      <c r="H74" s="24"/>
      <c r="I74" s="24"/>
      <c r="J74" s="24"/>
      <c r="K74" s="24"/>
    </row>
    <row r="75" spans="1:11">
      <c r="A75" s="29" t="s">
        <v>167</v>
      </c>
      <c r="B75" s="50">
        <f>$E$30</f>
        <v>9000</v>
      </c>
      <c r="C75" s="24"/>
      <c r="D75" s="24"/>
      <c r="E75" s="24"/>
      <c r="F75" s="24"/>
      <c r="G75" s="24"/>
      <c r="H75" s="24"/>
      <c r="I75" s="24"/>
      <c r="J75" s="24"/>
      <c r="K75" s="24"/>
    </row>
    <row r="76" spans="1:11">
      <c r="A76" s="29" t="s">
        <v>98</v>
      </c>
      <c r="B76" s="50">
        <f>$E$31</f>
        <v>8000</v>
      </c>
      <c r="C76" s="24"/>
      <c r="D76" s="24"/>
      <c r="E76" s="24"/>
      <c r="F76" s="24"/>
      <c r="G76" s="24"/>
      <c r="H76" s="24"/>
      <c r="I76" s="24"/>
      <c r="J76" s="24"/>
      <c r="K76" s="24"/>
    </row>
    <row r="77" spans="1:11">
      <c r="A77" s="29" t="s">
        <v>99</v>
      </c>
      <c r="B77" s="50">
        <f>$E$32</f>
        <v>4000</v>
      </c>
      <c r="C77" s="24"/>
      <c r="D77" s="24"/>
      <c r="E77" s="24"/>
      <c r="F77" s="24"/>
      <c r="G77" s="24"/>
      <c r="H77" s="24"/>
      <c r="I77" s="24"/>
      <c r="J77" s="24"/>
      <c r="K77" s="24"/>
    </row>
    <row r="78" spans="1:11">
      <c r="A78" s="29" t="s">
        <v>100</v>
      </c>
      <c r="B78" s="50">
        <f>$E$33</f>
        <v>25000</v>
      </c>
      <c r="C78" s="24"/>
      <c r="D78" s="24"/>
      <c r="E78" s="24"/>
      <c r="F78" s="24"/>
      <c r="G78" s="24"/>
      <c r="H78" s="24"/>
      <c r="I78" s="24"/>
      <c r="J78" s="24"/>
      <c r="K78" s="24"/>
    </row>
    <row r="79" spans="1:11">
      <c r="A79" s="29" t="s">
        <v>101</v>
      </c>
      <c r="B79" s="50">
        <f>$E$34</f>
        <v>5000</v>
      </c>
      <c r="C79" s="24"/>
      <c r="D79" s="24"/>
      <c r="E79" s="24"/>
      <c r="F79" s="24"/>
      <c r="G79" s="24"/>
      <c r="H79" s="24"/>
      <c r="I79" s="24"/>
      <c r="J79" s="24"/>
      <c r="K79" s="24"/>
    </row>
    <row r="80" spans="1:11">
      <c r="A80" s="43" t="s">
        <v>168</v>
      </c>
      <c r="B80" s="44">
        <f>SUM(B74:B79)</f>
        <v>501000</v>
      </c>
      <c r="C80" s="24"/>
      <c r="D80" s="24"/>
      <c r="E80" s="24"/>
      <c r="F80" s="24"/>
      <c r="G80" s="24"/>
      <c r="H80" s="24"/>
      <c r="I80" s="24"/>
      <c r="J80" s="24"/>
      <c r="K80" s="24"/>
    </row>
    <row r="81" spans="1:11">
      <c r="A81" s="29"/>
      <c r="B81" s="50"/>
      <c r="C81" s="24"/>
      <c r="D81" s="24"/>
      <c r="E81" s="24"/>
      <c r="F81" s="24"/>
      <c r="G81" s="24"/>
      <c r="H81" s="24"/>
      <c r="I81" s="24"/>
      <c r="J81" s="24"/>
      <c r="K81" s="24"/>
    </row>
    <row r="82" spans="1:11">
      <c r="A82" s="39" t="s">
        <v>169</v>
      </c>
      <c r="B82" s="51">
        <f>B74*$E$24</f>
        <v>360000</v>
      </c>
      <c r="C82" s="24"/>
      <c r="D82" s="24"/>
      <c r="E82" s="24"/>
      <c r="F82" s="24"/>
      <c r="G82" s="24"/>
      <c r="H82" s="24"/>
      <c r="I82" s="24"/>
      <c r="J82" s="24"/>
      <c r="K82" s="24"/>
    </row>
    <row r="83" spans="1:11">
      <c r="A83" s="39" t="s">
        <v>170</v>
      </c>
      <c r="B83" s="51">
        <f>B80-B82</f>
        <v>141000</v>
      </c>
      <c r="C83" s="24"/>
      <c r="D83" s="24"/>
      <c r="E83" s="24"/>
      <c r="F83" s="24"/>
      <c r="G83" s="24"/>
      <c r="H83" s="24"/>
      <c r="I83" s="24"/>
      <c r="J83" s="24"/>
      <c r="K83" s="24"/>
    </row>
    <row r="84" spans="1:11">
      <c r="A84" s="39" t="s">
        <v>171</v>
      </c>
      <c r="B84" s="51">
        <f>IF($E$25=0,B82/($E$26*$B$25),-PMT($E$25/$B$25,$E$26*$B$25,B82))</f>
        <v>1770.983607886141</v>
      </c>
      <c r="C84" s="24"/>
      <c r="D84" s="24"/>
      <c r="E84" s="24"/>
      <c r="F84" s="24"/>
      <c r="G84" s="24"/>
      <c r="H84" s="24"/>
      <c r="I84" s="24"/>
      <c r="J84" s="24"/>
      <c r="K84" s="24"/>
    </row>
    <row r="85" spans="1:11">
      <c r="A85" s="39" t="s">
        <v>172</v>
      </c>
      <c r="B85" s="51">
        <f>B84*$B$25</f>
        <v>21251.803294633693</v>
      </c>
      <c r="C85" s="24"/>
      <c r="D85" s="24"/>
      <c r="E85" s="24"/>
      <c r="F85" s="24"/>
      <c r="G85" s="24"/>
      <c r="H85" s="24"/>
      <c r="I85" s="24"/>
      <c r="J85" s="24"/>
      <c r="K85" s="24"/>
    </row>
    <row r="86" spans="1:11">
      <c r="A86" s="39" t="s">
        <v>35</v>
      </c>
      <c r="B86" s="52">
        <f>IFERROR(F60/B85,"")</f>
        <v>1.0650578535006217</v>
      </c>
      <c r="C86" s="24"/>
      <c r="D86" s="24"/>
      <c r="E86" s="24"/>
      <c r="F86" s="24"/>
      <c r="G86" s="24"/>
      <c r="H86" s="24"/>
      <c r="I86" s="24"/>
      <c r="J86" s="24"/>
      <c r="K86" s="24"/>
    </row>
    <row r="87" spans="1:11">
      <c r="A87" s="39" t="s">
        <v>173</v>
      </c>
      <c r="B87" s="53">
        <f>IFERROR((F60-B85)/B83,"")</f>
        <v>9.8056503926688514E-3</v>
      </c>
      <c r="C87" s="24"/>
      <c r="D87" s="24"/>
      <c r="E87" s="24"/>
      <c r="F87" s="24"/>
      <c r="G87" s="24"/>
      <c r="H87" s="24"/>
      <c r="I87" s="24"/>
      <c r="J87" s="24"/>
      <c r="K87" s="24"/>
    </row>
    <row r="88" spans="1:11">
      <c r="A88" s="24"/>
      <c r="B88" s="24"/>
      <c r="C88" s="24"/>
      <c r="D88" s="24"/>
      <c r="E88" s="24"/>
      <c r="F88" s="24"/>
      <c r="G88" s="24"/>
      <c r="H88" s="24"/>
      <c r="I88" s="24"/>
      <c r="J88" s="24"/>
      <c r="K88" s="24"/>
    </row>
    <row r="89" spans="1:11">
      <c r="A89" s="24"/>
      <c r="B89" s="24"/>
      <c r="C89" s="24"/>
      <c r="D89" s="24"/>
      <c r="E89" s="54" t="s">
        <v>174</v>
      </c>
      <c r="F89" s="54" t="s">
        <v>108</v>
      </c>
      <c r="G89" s="54" t="s">
        <v>109</v>
      </c>
      <c r="H89" s="54" t="s">
        <v>110</v>
      </c>
      <c r="I89" s="54" t="s">
        <v>111</v>
      </c>
      <c r="J89" s="54" t="s">
        <v>112</v>
      </c>
      <c r="K89" s="24"/>
    </row>
    <row r="90" spans="1:11">
      <c r="A90" s="24" t="s">
        <v>175</v>
      </c>
      <c r="B90" s="24" t="s">
        <v>176</v>
      </c>
      <c r="C90" s="24" t="s">
        <v>59</v>
      </c>
      <c r="D90" s="24" t="s">
        <v>120</v>
      </c>
      <c r="E90" s="37">
        <f>$B$82</f>
        <v>360000</v>
      </c>
      <c r="F90" s="37">
        <f>IF($E$25=0,MAX(0,$B$82-$B$84*1*$B$25),MAX(0,$B$82*(1+$E$25/$B$25)^(1*$B$25)-$B$84*(((1+$E$25/$B$25)^(1*$B$25)-1)/($E$25/$B$25))))</f>
        <v>353930.88087732991</v>
      </c>
      <c r="G90" s="37">
        <f>IF($E$25=0,MAX(0,$B$82-$B$84*2*$B$25),MAX(0,$B$82*(1+$E$25/$B$25)^(2*$B$25)-$B$84*(((1+$E$25/$B$25)^(2*$B$25)-1)/($E$25/$B$25))))</f>
        <v>347598.73999187228</v>
      </c>
      <c r="H90" s="37">
        <f>IF($E$25=0,MAX(0,$B$82-$B$84*3*$B$25),MAX(0,$B$82*(1+$E$25/$B$25)^(3*$B$25)-$B$84*(((1+$E$25/$B$25)^(3*$B$25)-1)/($E$25/$B$25))))</f>
        <v>340992.1785810882</v>
      </c>
      <c r="I90" s="37">
        <f>IF($E$25=0,MAX(0,$B$82-$B$84*4*$B$25),MAX(0,$B$82*(1+$E$25/$B$25)^(4*$B$25)-$B$84*(((1+$E$25/$B$25)^(4*$B$25)-1)/($E$25/$B$25))))</f>
        <v>334099.30388610141</v>
      </c>
      <c r="J90" s="37">
        <f>IF($E$25=0,MAX(0,$B$82-$B$84*5*$B$25),MAX(0,$B$82*(1+$E$25/$B$25)^(5*$B$25)-$B$84*(((1+$E$25/$B$25)^(5*$B$25)-1)/($E$25/$B$25))))</f>
        <v>326907.70774302562</v>
      </c>
      <c r="K90" s="24"/>
    </row>
    <row r="91" spans="1:11">
      <c r="A91" s="24" t="s">
        <v>177</v>
      </c>
      <c r="B91" s="24" t="s">
        <v>178</v>
      </c>
      <c r="C91" s="24" t="s">
        <v>59</v>
      </c>
      <c r="D91" s="24" t="s">
        <v>179</v>
      </c>
      <c r="E91" s="37">
        <v>0</v>
      </c>
      <c r="F91" s="37">
        <f>E90*$E$25</f>
        <v>15300.000000000002</v>
      </c>
      <c r="G91" s="37">
        <f>F90*$E$25</f>
        <v>15042.062437286522</v>
      </c>
      <c r="H91" s="37">
        <f>G90*$E$25</f>
        <v>14772.946449654573</v>
      </c>
      <c r="I91" s="37">
        <f>H90*$E$25</f>
        <v>14492.16758969625</v>
      </c>
      <c r="J91" s="37">
        <f>I90*$E$25</f>
        <v>14199.220415159311</v>
      </c>
      <c r="K91" s="24"/>
    </row>
    <row r="92" spans="1:11">
      <c r="A92" s="24" t="s">
        <v>180</v>
      </c>
      <c r="B92" s="24" t="s">
        <v>181</v>
      </c>
      <c r="C92" s="24" t="s">
        <v>59</v>
      </c>
      <c r="D92" s="24" t="s">
        <v>182</v>
      </c>
      <c r="E92" s="37"/>
      <c r="F92" s="37">
        <f>-MAX(0,F60-F91)*$E$27</f>
        <v>0</v>
      </c>
      <c r="G92" s="37">
        <f>-MAX(0,G60-G91)*$E$27</f>
        <v>0</v>
      </c>
      <c r="H92" s="37">
        <f>-MAX(0,H60-H91)*$E$27</f>
        <v>0</v>
      </c>
      <c r="I92" s="37">
        <f>-MAX(0,I60-I91)*$E$27</f>
        <v>0</v>
      </c>
      <c r="J92" s="37">
        <f>-MAX(0,J60-J91)*$E$27</f>
        <v>0</v>
      </c>
      <c r="K92" s="24"/>
    </row>
    <row r="93" spans="1:11">
      <c r="A93" s="24" t="s">
        <v>183</v>
      </c>
      <c r="B93" s="24" t="s">
        <v>184</v>
      </c>
      <c r="C93" s="24" t="s">
        <v>59</v>
      </c>
      <c r="D93" s="24" t="s">
        <v>185</v>
      </c>
      <c r="E93" s="37"/>
      <c r="F93" s="37">
        <v>0</v>
      </c>
      <c r="G93" s="37">
        <v>0</v>
      </c>
      <c r="H93" s="37">
        <v>0</v>
      </c>
      <c r="I93" s="37">
        <v>0</v>
      </c>
      <c r="J93" s="37">
        <f>-MAX(0,$K$68-$B$74-$B$75-$B$76)*$E$28</f>
        <v>0</v>
      </c>
      <c r="K93" s="24"/>
    </row>
    <row r="94" spans="1:11">
      <c r="A94" s="43" t="s">
        <v>186</v>
      </c>
      <c r="B94" s="43" t="s">
        <v>187</v>
      </c>
      <c r="C94" s="43" t="s">
        <v>59</v>
      </c>
      <c r="D94" s="43" t="s">
        <v>120</v>
      </c>
      <c r="E94" s="44">
        <f>-$B$83</f>
        <v>-141000</v>
      </c>
      <c r="F94" s="44">
        <f>F60-$B$85+F92</f>
        <v>1382.596705366308</v>
      </c>
      <c r="G94" s="44">
        <f>G60-$B$85+G92</f>
        <v>2365.6847053663078</v>
      </c>
      <c r="H94" s="44">
        <f>H60-$B$85+H92</f>
        <v>3387.3870253663081</v>
      </c>
      <c r="I94" s="44">
        <f>I60-$B$85+I92</f>
        <v>4126.5627349663155</v>
      </c>
      <c r="J94" s="44">
        <f>J60-$B$85+J92+$K$68-MAX(0,$K$68-$B$74-$B$75-$B$76)*$E$28-J90</f>
        <v>113250.06039247138</v>
      </c>
      <c r="K94" s="24"/>
    </row>
    <row r="95" spans="1:11">
      <c r="A95" s="47" t="s">
        <v>188</v>
      </c>
      <c r="B95" s="55">
        <f>IFERROR(IRR(E94:J94),"")</f>
        <v>-2.54867589105221E-2</v>
      </c>
      <c r="C95" s="47" t="s">
        <v>67</v>
      </c>
      <c r="D95" s="47" t="s">
        <v>120</v>
      </c>
      <c r="E95" s="47"/>
      <c r="F95" s="47"/>
      <c r="G95" s="47"/>
      <c r="H95" s="47"/>
      <c r="I95" s="47"/>
      <c r="J95" s="47"/>
      <c r="K95" s="24"/>
    </row>
    <row r="96" spans="1:11">
      <c r="A96" s="24" t="s">
        <v>189</v>
      </c>
      <c r="B96" s="24" t="s">
        <v>190</v>
      </c>
      <c r="C96" s="24"/>
      <c r="D96" s="24"/>
      <c r="E96" s="24"/>
      <c r="F96" s="24"/>
      <c r="G96" s="24"/>
      <c r="H96" s="24"/>
      <c r="I96" s="24"/>
      <c r="J96" s="24"/>
      <c r="K96" s="24"/>
    </row>
    <row r="97" spans="1:11">
      <c r="A97" s="24"/>
      <c r="B97" s="24"/>
      <c r="C97" s="24"/>
      <c r="D97" s="24"/>
      <c r="E97" s="24"/>
      <c r="F97" s="24"/>
      <c r="G97" s="24"/>
      <c r="H97" s="24"/>
      <c r="I97" s="24"/>
      <c r="J97" s="24"/>
      <c r="K97" s="24"/>
    </row>
    <row r="98" spans="1:11" ht="24" customHeight="1">
      <c r="A98" s="73" t="s">
        <v>191</v>
      </c>
      <c r="B98" s="73" t="s">
        <v>191</v>
      </c>
      <c r="C98" s="73" t="s">
        <v>191</v>
      </c>
      <c r="D98" s="73" t="s">
        <v>191</v>
      </c>
      <c r="E98" s="73" t="s">
        <v>191</v>
      </c>
      <c r="F98" s="73" t="s">
        <v>191</v>
      </c>
      <c r="G98" s="73" t="s">
        <v>191</v>
      </c>
      <c r="H98" s="73" t="s">
        <v>191</v>
      </c>
      <c r="I98" s="73" t="s">
        <v>191</v>
      </c>
      <c r="J98" s="73" t="s">
        <v>191</v>
      </c>
      <c r="K98" s="73" t="s">
        <v>191</v>
      </c>
    </row>
    <row r="99" spans="1:11" ht="24" customHeight="1">
      <c r="A99" s="73" t="s">
        <v>191</v>
      </c>
      <c r="B99" s="73" t="s">
        <v>191</v>
      </c>
      <c r="C99" s="73" t="s">
        <v>191</v>
      </c>
      <c r="D99" s="73" t="s">
        <v>191</v>
      </c>
      <c r="E99" s="73" t="s">
        <v>191</v>
      </c>
      <c r="F99" s="73" t="s">
        <v>191</v>
      </c>
      <c r="G99" s="73" t="s">
        <v>191</v>
      </c>
      <c r="H99" s="73" t="s">
        <v>191</v>
      </c>
      <c r="I99" s="73" t="s">
        <v>191</v>
      </c>
      <c r="J99" s="73" t="s">
        <v>191</v>
      </c>
      <c r="K99" s="73" t="s">
        <v>191</v>
      </c>
    </row>
    <row r="100" spans="1:11" ht="24" customHeight="1">
      <c r="A100" s="73" t="s">
        <v>191</v>
      </c>
      <c r="B100" s="73" t="s">
        <v>191</v>
      </c>
      <c r="C100" s="73" t="s">
        <v>191</v>
      </c>
      <c r="D100" s="73" t="s">
        <v>191</v>
      </c>
      <c r="E100" s="73" t="s">
        <v>191</v>
      </c>
      <c r="F100" s="73" t="s">
        <v>191</v>
      </c>
      <c r="G100" s="73" t="s">
        <v>191</v>
      </c>
      <c r="H100" s="73" t="s">
        <v>191</v>
      </c>
      <c r="I100" s="73" t="s">
        <v>191</v>
      </c>
      <c r="J100" s="73" t="s">
        <v>191</v>
      </c>
      <c r="K100" s="73" t="s">
        <v>191</v>
      </c>
    </row>
    <row r="101" spans="1:11" ht="24" customHeight="1">
      <c r="A101" s="73" t="s">
        <v>191</v>
      </c>
      <c r="B101" s="73" t="s">
        <v>191</v>
      </c>
      <c r="C101" s="73" t="s">
        <v>191</v>
      </c>
      <c r="D101" s="73" t="s">
        <v>191</v>
      </c>
      <c r="E101" s="73" t="s">
        <v>191</v>
      </c>
      <c r="F101" s="73" t="s">
        <v>191</v>
      </c>
      <c r="G101" s="73" t="s">
        <v>191</v>
      </c>
      <c r="H101" s="73" t="s">
        <v>191</v>
      </c>
      <c r="I101" s="73" t="s">
        <v>191</v>
      </c>
      <c r="J101" s="73" t="s">
        <v>191</v>
      </c>
      <c r="K101" s="73" t="s">
        <v>191</v>
      </c>
    </row>
  </sheetData>
  <mergeCells count="6">
    <mergeCell ref="A98:K101"/>
    <mergeCell ref="A1:K1"/>
    <mergeCell ref="A11:C11"/>
    <mergeCell ref="D11:E11"/>
    <mergeCell ref="A37:K37"/>
    <mergeCell ref="A73:K73"/>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1"/>
  <sheetViews>
    <sheetView showGridLines="0" workbookViewId="0">
      <selection sqref="A1:F1"/>
    </sheetView>
  </sheetViews>
  <sheetFormatPr defaultRowHeight="14.25"/>
  <cols>
    <col min="1" max="1" width="34" customWidth="1"/>
    <col min="2" max="2" width="30" customWidth="1"/>
    <col min="3" max="6" width="24" customWidth="1"/>
  </cols>
  <sheetData>
    <row r="1" spans="1:6" ht="26.1" customHeight="1">
      <c r="A1" s="74" t="s">
        <v>192</v>
      </c>
      <c r="B1" s="74" t="s">
        <v>192</v>
      </c>
      <c r="C1" s="74" t="s">
        <v>192</v>
      </c>
      <c r="D1" s="74" t="s">
        <v>192</v>
      </c>
      <c r="E1" s="74" t="s">
        <v>192</v>
      </c>
      <c r="F1" s="74" t="s">
        <v>192</v>
      </c>
    </row>
    <row r="2" spans="1:6">
      <c r="A2" s="24"/>
      <c r="B2" s="24"/>
      <c r="C2" s="24"/>
      <c r="D2" s="24"/>
      <c r="E2" s="24"/>
      <c r="F2" s="24"/>
    </row>
    <row r="3" spans="1:6">
      <c r="A3" s="29" t="s">
        <v>8</v>
      </c>
      <c r="B3" s="56" t="str">
        <f>Summary!$B$8</f>
        <v xml:space="preserve">Sungai Jawi </v>
      </c>
      <c r="C3" s="24"/>
      <c r="D3" s="24"/>
      <c r="E3" s="24"/>
      <c r="F3" s="24"/>
    </row>
    <row r="4" spans="1:6">
      <c r="A4" s="29" t="s">
        <v>54</v>
      </c>
      <c r="B4" s="56" t="str">
        <f>Summary!$B$9</f>
        <v>Residential strata apartment / condominium unit</v>
      </c>
      <c r="C4" s="24"/>
      <c r="D4" s="24"/>
      <c r="E4" s="24"/>
      <c r="F4" s="24"/>
    </row>
    <row r="5" spans="1:6">
      <c r="A5" s="29" t="s">
        <v>11</v>
      </c>
      <c r="B5" s="56" t="str">
        <f>Summary!$B$10</f>
        <v>Penang, Malaysia — replace with subject address</v>
      </c>
      <c r="C5" s="24"/>
      <c r="D5" s="24"/>
      <c r="E5" s="24"/>
      <c r="F5" s="24"/>
    </row>
    <row r="6" spans="1:6">
      <c r="A6" s="29" t="s">
        <v>16</v>
      </c>
      <c r="B6" s="56" t="str">
        <f>Summary!$B$14</f>
        <v>Freehold — replace if leasehold</v>
      </c>
      <c r="C6" s="24"/>
      <c r="D6" s="24"/>
      <c r="E6" s="24"/>
      <c r="F6" s="24"/>
    </row>
    <row r="7" spans="1:6">
      <c r="A7" s="29" t="s">
        <v>14</v>
      </c>
      <c r="B7" s="57">
        <f>Summary!$B$12</f>
        <v>1000</v>
      </c>
      <c r="C7" s="24"/>
      <c r="D7" s="24"/>
      <c r="E7" s="24"/>
      <c r="F7" s="24"/>
    </row>
    <row r="8" spans="1:6">
      <c r="A8" s="29" t="s">
        <v>15</v>
      </c>
      <c r="B8" s="57">
        <f>Summary!$B$13</f>
        <v>1</v>
      </c>
      <c r="C8" s="24"/>
      <c r="D8" s="24"/>
      <c r="E8" s="24"/>
      <c r="F8" s="24"/>
    </row>
    <row r="9" spans="1:6">
      <c r="A9" s="29" t="s">
        <v>193</v>
      </c>
      <c r="B9" s="58">
        <f>'Residential DCF (Buyer)'!$B$69</f>
        <v>362439.90780429216</v>
      </c>
      <c r="C9" s="24"/>
      <c r="D9" s="24"/>
      <c r="E9" s="24"/>
      <c r="F9" s="24"/>
    </row>
    <row r="10" spans="1:6">
      <c r="A10" s="29" t="s">
        <v>30</v>
      </c>
      <c r="B10" s="58">
        <f>'Residential DCF (Buyer)'!$B$70</f>
        <v>362.43990780429215</v>
      </c>
      <c r="C10" s="24"/>
      <c r="D10" s="24"/>
      <c r="E10" s="24"/>
      <c r="F10" s="24"/>
    </row>
    <row r="11" spans="1:6">
      <c r="A11" s="29" t="s">
        <v>55</v>
      </c>
      <c r="B11" s="59">
        <f>Summary!$B$6</f>
        <v>46220</v>
      </c>
      <c r="C11" s="24"/>
      <c r="D11" s="24"/>
      <c r="E11" s="24"/>
      <c r="F11" s="24"/>
    </row>
    <row r="12" spans="1:6">
      <c r="A12" s="29" t="s">
        <v>194</v>
      </c>
      <c r="B12" s="31" t="s">
        <v>195</v>
      </c>
      <c r="C12" s="24"/>
      <c r="D12" s="24"/>
      <c r="E12" s="24"/>
      <c r="F12" s="24"/>
    </row>
    <row r="13" spans="1:6">
      <c r="A13" s="24"/>
      <c r="B13" s="24"/>
      <c r="C13" s="24"/>
      <c r="D13" s="24"/>
      <c r="E13" s="24"/>
      <c r="F13" s="24"/>
    </row>
    <row r="14" spans="1:6">
      <c r="A14" s="24"/>
      <c r="B14" s="24"/>
      <c r="C14" s="24"/>
      <c r="D14" s="24"/>
      <c r="E14" s="24"/>
      <c r="F14" s="24"/>
    </row>
    <row r="15" spans="1:6" ht="20.100000000000001" customHeight="1">
      <c r="A15" s="75" t="s">
        <v>196</v>
      </c>
      <c r="B15" s="75" t="s">
        <v>196</v>
      </c>
      <c r="C15" s="75" t="s">
        <v>196</v>
      </c>
      <c r="D15" s="75" t="s">
        <v>196</v>
      </c>
      <c r="E15" s="75" t="s">
        <v>196</v>
      </c>
      <c r="F15" s="75" t="s">
        <v>196</v>
      </c>
    </row>
    <row r="16" spans="1:6">
      <c r="A16" s="60" t="s">
        <v>197</v>
      </c>
      <c r="B16" s="60" t="s">
        <v>53</v>
      </c>
      <c r="C16" s="60" t="s">
        <v>198</v>
      </c>
      <c r="D16" s="60" t="s">
        <v>199</v>
      </c>
      <c r="E16" s="60" t="s">
        <v>200</v>
      </c>
      <c r="F16" s="60" t="s">
        <v>201</v>
      </c>
    </row>
    <row r="17" spans="1:6">
      <c r="A17" s="31" t="s">
        <v>202</v>
      </c>
      <c r="B17" s="31" t="s">
        <v>203</v>
      </c>
      <c r="C17" s="61"/>
      <c r="D17" s="61"/>
      <c r="E17" s="61"/>
      <c r="F17" s="61"/>
    </row>
    <row r="18" spans="1:6">
      <c r="A18" s="31" t="s">
        <v>204</v>
      </c>
      <c r="B18" s="56" t="str">
        <f>Summary!$B$8</f>
        <v xml:space="preserve">Sungai Jawi </v>
      </c>
      <c r="C18" s="61"/>
      <c r="D18" s="61"/>
      <c r="E18" s="61"/>
      <c r="F18" s="61"/>
    </row>
    <row r="19" spans="1:6">
      <c r="A19" s="31" t="s">
        <v>205</v>
      </c>
      <c r="B19" s="56" t="str">
        <f>Summary!$B$10</f>
        <v>Penang, Malaysia — replace with subject address</v>
      </c>
      <c r="C19" s="61"/>
      <c r="D19" s="61"/>
      <c r="E19" s="61"/>
      <c r="F19" s="61"/>
    </row>
    <row r="20" spans="1:6">
      <c r="A20" s="31" t="s">
        <v>206</v>
      </c>
      <c r="B20" s="59">
        <f>Summary!$B$6</f>
        <v>46220</v>
      </c>
      <c r="C20" s="62"/>
      <c r="D20" s="62"/>
      <c r="E20" s="62"/>
      <c r="F20" s="62"/>
    </row>
    <row r="21" spans="1:6">
      <c r="A21" s="31" t="s">
        <v>207</v>
      </c>
      <c r="B21" s="56"/>
      <c r="C21" s="30"/>
      <c r="D21" s="30"/>
      <c r="E21" s="30"/>
      <c r="F21" s="30"/>
    </row>
    <row r="22" spans="1:6">
      <c r="A22" s="31" t="s">
        <v>14</v>
      </c>
      <c r="B22" s="56">
        <f>Summary!$B$13</f>
        <v>1</v>
      </c>
      <c r="C22" s="63"/>
      <c r="D22" s="63"/>
      <c r="E22" s="63"/>
      <c r="F22" s="63"/>
    </row>
    <row r="23" spans="1:6">
      <c r="A23" s="31" t="s">
        <v>208</v>
      </c>
      <c r="B23" s="56"/>
      <c r="C23" s="32" t="str">
        <f>IFERROR(C21/C22,"")</f>
        <v/>
      </c>
      <c r="D23" s="32" t="str">
        <f>IFERROR(D21/D22,"")</f>
        <v/>
      </c>
      <c r="E23" s="32" t="str">
        <f>IFERROR(E21/E22,"")</f>
        <v/>
      </c>
      <c r="F23" s="32" t="str">
        <f>IFERROR(F21/F22,"")</f>
        <v/>
      </c>
    </row>
    <row r="24" spans="1:6">
      <c r="A24" s="31" t="s">
        <v>209</v>
      </c>
      <c r="B24" s="61" t="s">
        <v>210</v>
      </c>
      <c r="C24" s="61"/>
      <c r="D24" s="61"/>
      <c r="E24" s="61"/>
      <c r="F24" s="61"/>
    </row>
    <row r="25" spans="1:6">
      <c r="A25" s="31" t="s">
        <v>211</v>
      </c>
      <c r="B25" s="61" t="s">
        <v>210</v>
      </c>
      <c r="C25" s="61"/>
      <c r="D25" s="61"/>
      <c r="E25" s="61"/>
      <c r="F25" s="61"/>
    </row>
    <row r="26" spans="1:6">
      <c r="A26" s="31" t="s">
        <v>15</v>
      </c>
      <c r="B26" s="56">
        <f>Summary!$B$13</f>
        <v>1</v>
      </c>
      <c r="C26" s="61"/>
      <c r="D26" s="61"/>
      <c r="E26" s="61"/>
      <c r="F26" s="61"/>
    </row>
    <row r="27" spans="1:6">
      <c r="A27" s="31" t="s">
        <v>212</v>
      </c>
      <c r="B27" s="56" t="str">
        <f>Summary!$B$14</f>
        <v>Freehold — replace if leasehold</v>
      </c>
      <c r="C27" s="61"/>
      <c r="D27" s="61"/>
      <c r="E27" s="61"/>
      <c r="F27" s="61"/>
    </row>
    <row r="28" spans="1:6">
      <c r="A28" s="31" t="s">
        <v>213</v>
      </c>
      <c r="B28" s="56">
        <f>'Residential DCF (Buyer)'!$E$12</f>
        <v>0.35</v>
      </c>
      <c r="C28" s="61"/>
      <c r="D28" s="61"/>
      <c r="E28" s="61"/>
      <c r="F28" s="61"/>
    </row>
    <row r="29" spans="1:6">
      <c r="A29" s="24"/>
      <c r="B29" s="24"/>
      <c r="C29" s="24"/>
      <c r="D29" s="24"/>
      <c r="E29" s="24"/>
      <c r="F29" s="24"/>
    </row>
    <row r="30" spans="1:6" ht="20.100000000000001" customHeight="1">
      <c r="A30" s="75" t="s">
        <v>214</v>
      </c>
      <c r="B30" s="75" t="s">
        <v>214</v>
      </c>
      <c r="C30" s="75" t="s">
        <v>214</v>
      </c>
      <c r="D30" s="75" t="s">
        <v>214</v>
      </c>
      <c r="E30" s="75" t="s">
        <v>214</v>
      </c>
      <c r="F30" s="75" t="s">
        <v>214</v>
      </c>
    </row>
    <row r="31" spans="1:6">
      <c r="A31" s="60" t="s">
        <v>215</v>
      </c>
      <c r="B31" s="60" t="s">
        <v>53</v>
      </c>
      <c r="C31" s="60" t="s">
        <v>198</v>
      </c>
      <c r="D31" s="60" t="s">
        <v>199</v>
      </c>
      <c r="E31" s="60" t="s">
        <v>200</v>
      </c>
      <c r="F31" s="60" t="s">
        <v>201</v>
      </c>
    </row>
    <row r="32" spans="1:6">
      <c r="A32" s="31" t="s">
        <v>216</v>
      </c>
      <c r="B32" s="31" t="s">
        <v>217</v>
      </c>
      <c r="C32" s="33"/>
      <c r="D32" s="33"/>
      <c r="E32" s="33"/>
      <c r="F32" s="33"/>
    </row>
    <row r="33" spans="1:6">
      <c r="A33" s="31" t="s">
        <v>218</v>
      </c>
      <c r="B33" s="31" t="s">
        <v>217</v>
      </c>
      <c r="C33" s="33"/>
      <c r="D33" s="33"/>
      <c r="E33" s="33"/>
      <c r="F33" s="33"/>
    </row>
    <row r="34" spans="1:6">
      <c r="A34" s="31" t="s">
        <v>219</v>
      </c>
      <c r="B34" s="31" t="s">
        <v>217</v>
      </c>
      <c r="C34" s="33"/>
      <c r="D34" s="33"/>
      <c r="E34" s="33"/>
      <c r="F34" s="33"/>
    </row>
    <row r="35" spans="1:6">
      <c r="A35" s="31" t="s">
        <v>220</v>
      </c>
      <c r="B35" s="31" t="s">
        <v>217</v>
      </c>
      <c r="C35" s="33"/>
      <c r="D35" s="33"/>
      <c r="E35" s="33"/>
      <c r="F35" s="33"/>
    </row>
    <row r="36" spans="1:6">
      <c r="A36" s="31" t="s">
        <v>221</v>
      </c>
      <c r="B36" s="31" t="s">
        <v>217</v>
      </c>
      <c r="C36" s="33"/>
      <c r="D36" s="33"/>
      <c r="E36" s="33"/>
      <c r="F36" s="33"/>
    </row>
    <row r="37" spans="1:6">
      <c r="A37" s="31" t="s">
        <v>222</v>
      </c>
      <c r="B37" s="31" t="s">
        <v>217</v>
      </c>
      <c r="C37" s="33"/>
      <c r="D37" s="33"/>
      <c r="E37" s="33"/>
      <c r="F37" s="33"/>
    </row>
    <row r="38" spans="1:6">
      <c r="A38" s="31" t="s">
        <v>223</v>
      </c>
      <c r="B38" s="31" t="s">
        <v>217</v>
      </c>
      <c r="C38" s="33"/>
      <c r="D38" s="33"/>
      <c r="E38" s="33"/>
      <c r="F38" s="33"/>
    </row>
    <row r="39" spans="1:6">
      <c r="A39" s="31" t="s">
        <v>224</v>
      </c>
      <c r="B39" s="31" t="s">
        <v>217</v>
      </c>
      <c r="C39" s="33"/>
      <c r="D39" s="33"/>
      <c r="E39" s="33"/>
      <c r="F39" s="33"/>
    </row>
    <row r="40" spans="1:6">
      <c r="A40" s="31" t="s">
        <v>225</v>
      </c>
      <c r="B40" s="31" t="s">
        <v>217</v>
      </c>
      <c r="C40" s="33"/>
      <c r="D40" s="33"/>
      <c r="E40" s="33"/>
      <c r="F40" s="33"/>
    </row>
    <row r="41" spans="1:6">
      <c r="A41" s="31" t="s">
        <v>226</v>
      </c>
      <c r="B41" s="31" t="s">
        <v>217</v>
      </c>
      <c r="C41" s="33"/>
      <c r="D41" s="33"/>
      <c r="E41" s="33"/>
      <c r="F41" s="33"/>
    </row>
    <row r="42" spans="1:6">
      <c r="A42" s="43" t="s">
        <v>227</v>
      </c>
      <c r="B42" s="43"/>
      <c r="C42" s="64">
        <f>SUM(C32:C41)</f>
        <v>0</v>
      </c>
      <c r="D42" s="64">
        <f>SUM(D32:D41)</f>
        <v>0</v>
      </c>
      <c r="E42" s="64">
        <f>SUM(E32:E41)</f>
        <v>0</v>
      </c>
      <c r="F42" s="64">
        <f>SUM(F32:F41)</f>
        <v>0</v>
      </c>
    </row>
    <row r="43" spans="1:6">
      <c r="A43" s="43" t="s">
        <v>228</v>
      </c>
      <c r="B43" s="43"/>
      <c r="C43" s="65" t="str">
        <f>IFERROR(C23*(1+C42),"")</f>
        <v/>
      </c>
      <c r="D43" s="65" t="str">
        <f>IFERROR(D23*(1+D42),"")</f>
        <v/>
      </c>
      <c r="E43" s="65" t="str">
        <f>IFERROR(E23*(1+E42),"")</f>
        <v/>
      </c>
      <c r="F43" s="65" t="str">
        <f>IFERROR(F23*(1+F42),"")</f>
        <v/>
      </c>
    </row>
    <row r="44" spans="1:6">
      <c r="A44" s="31"/>
      <c r="B44" s="31"/>
      <c r="C44" s="31"/>
      <c r="D44" s="31"/>
      <c r="E44" s="31"/>
      <c r="F44" s="31"/>
    </row>
    <row r="45" spans="1:6">
      <c r="A45" s="31" t="s">
        <v>229</v>
      </c>
      <c r="B45" s="31"/>
      <c r="C45" s="31" t="str">
        <f>IF(C43="","No","Yes")</f>
        <v>No</v>
      </c>
      <c r="D45" s="31" t="str">
        <f>IF(D43="","No","Yes")</f>
        <v>No</v>
      </c>
      <c r="E45" s="31" t="str">
        <f>IF(E43="","No","Yes")</f>
        <v>No</v>
      </c>
      <c r="F45" s="31" t="str">
        <f>IF(F43="","No","Yes")</f>
        <v>No</v>
      </c>
    </row>
    <row r="46" spans="1:6">
      <c r="A46" s="31" t="s">
        <v>230</v>
      </c>
      <c r="B46" s="31"/>
      <c r="C46" s="33">
        <v>0.25</v>
      </c>
      <c r="D46" s="33">
        <v>0.25</v>
      </c>
      <c r="E46" s="33">
        <v>0.25</v>
      </c>
      <c r="F46" s="33">
        <v>0.25</v>
      </c>
    </row>
    <row r="47" spans="1:6">
      <c r="A47" s="31" t="s">
        <v>231</v>
      </c>
      <c r="B47" s="31"/>
      <c r="C47" s="66">
        <f>IF(C45="Yes",C43*C46,0)</f>
        <v>0</v>
      </c>
      <c r="D47" s="66">
        <f>IF(D45="Yes",D43*D46,0)</f>
        <v>0</v>
      </c>
      <c r="E47" s="66">
        <f>IF(E45="Yes",E43*E46,0)</f>
        <v>0</v>
      </c>
      <c r="F47" s="66">
        <f>IF(F45="Yes",F43*F46,0)</f>
        <v>0</v>
      </c>
    </row>
    <row r="48" spans="1:6">
      <c r="A48" s="24"/>
      <c r="B48" s="24"/>
      <c r="C48" s="24"/>
      <c r="D48" s="24"/>
      <c r="E48" s="24"/>
      <c r="F48" s="24"/>
    </row>
    <row r="49" spans="1:6">
      <c r="A49" s="24"/>
      <c r="B49" s="24"/>
      <c r="C49" s="24"/>
      <c r="D49" s="24"/>
      <c r="E49" s="24"/>
      <c r="F49" s="24"/>
    </row>
    <row r="50" spans="1:6" ht="20.100000000000001" customHeight="1">
      <c r="A50" s="75" t="s">
        <v>32</v>
      </c>
      <c r="B50" s="75" t="s">
        <v>32</v>
      </c>
      <c r="C50" s="75" t="s">
        <v>32</v>
      </c>
      <c r="D50" s="75" t="s">
        <v>32</v>
      </c>
      <c r="E50" s="75" t="s">
        <v>32</v>
      </c>
      <c r="F50" s="75" t="s">
        <v>32</v>
      </c>
    </row>
    <row r="51" spans="1:6">
      <c r="A51" s="29" t="s">
        <v>232</v>
      </c>
      <c r="B51" s="67">
        <f>SUMIF(C45:F45,"Yes",C46:F46)</f>
        <v>0</v>
      </c>
      <c r="C51" s="24"/>
      <c r="D51" s="24"/>
      <c r="E51" s="24"/>
      <c r="F51" s="24"/>
    </row>
    <row r="52" spans="1:6">
      <c r="A52" s="29" t="s">
        <v>233</v>
      </c>
      <c r="B52" s="50" t="str">
        <f>IF(B51=0,"",SUM(C47:F47)/B51)</f>
        <v/>
      </c>
      <c r="C52" s="24"/>
      <c r="D52" s="24"/>
      <c r="E52" s="24"/>
      <c r="F52" s="24"/>
    </row>
    <row r="53" spans="1:6">
      <c r="A53" s="47" t="s">
        <v>234</v>
      </c>
      <c r="B53" s="48" t="str">
        <f>IF(B52="","",B52*$B$7)</f>
        <v/>
      </c>
      <c r="C53" s="24"/>
      <c r="D53" s="24"/>
      <c r="E53" s="24"/>
      <c r="F53" s="24"/>
    </row>
    <row r="54" spans="1:6">
      <c r="A54" s="29" t="s">
        <v>235</v>
      </c>
      <c r="B54" s="67" t="str">
        <f>IF(B55&lt;&gt;"OK","",IFERROR(B53/$B$9-1,""))</f>
        <v/>
      </c>
      <c r="C54" s="24"/>
      <c r="D54" s="24"/>
      <c r="E54" s="24"/>
      <c r="F54" s="24"/>
    </row>
    <row r="55" spans="1:6" ht="30" customHeight="1">
      <c r="A55" s="68" t="s">
        <v>236</v>
      </c>
      <c r="B55" s="69" t="str">
        <f>IF(COUNT(C21:F21)&gt;=3,"OK","INPUT NEEDED — enter at least three verified sales")</f>
        <v>INPUT NEEDED — enter at least three verified sales</v>
      </c>
      <c r="C55" s="24"/>
      <c r="D55" s="24"/>
      <c r="E55" s="24"/>
      <c r="F55" s="24"/>
    </row>
    <row r="56" spans="1:6">
      <c r="A56" s="24"/>
      <c r="B56" s="24"/>
      <c r="C56" s="24"/>
      <c r="D56" s="24"/>
      <c r="E56" s="24"/>
      <c r="F56" s="24"/>
    </row>
    <row r="57" spans="1:6">
      <c r="A57" s="24"/>
      <c r="B57" s="24"/>
      <c r="C57" s="24"/>
      <c r="D57" s="24"/>
      <c r="E57" s="24"/>
      <c r="F57" s="24"/>
    </row>
    <row r="58" spans="1:6" ht="24" customHeight="1">
      <c r="A58" s="73" t="s">
        <v>237</v>
      </c>
      <c r="B58" s="73" t="s">
        <v>237</v>
      </c>
      <c r="C58" s="73" t="s">
        <v>237</v>
      </c>
      <c r="D58" s="73" t="s">
        <v>237</v>
      </c>
      <c r="E58" s="73" t="s">
        <v>237</v>
      </c>
      <c r="F58" s="73" t="s">
        <v>237</v>
      </c>
    </row>
    <row r="59" spans="1:6" ht="24" customHeight="1">
      <c r="A59" s="73" t="s">
        <v>237</v>
      </c>
      <c r="B59" s="73" t="s">
        <v>237</v>
      </c>
      <c r="C59" s="73" t="s">
        <v>237</v>
      </c>
      <c r="D59" s="73" t="s">
        <v>237</v>
      </c>
      <c r="E59" s="73" t="s">
        <v>237</v>
      </c>
      <c r="F59" s="73" t="s">
        <v>237</v>
      </c>
    </row>
    <row r="60" spans="1:6" ht="24" customHeight="1">
      <c r="A60" s="73" t="s">
        <v>237</v>
      </c>
      <c r="B60" s="73" t="s">
        <v>237</v>
      </c>
      <c r="C60" s="73" t="s">
        <v>237</v>
      </c>
      <c r="D60" s="73" t="s">
        <v>237</v>
      </c>
      <c r="E60" s="73" t="s">
        <v>237</v>
      </c>
      <c r="F60" s="73" t="s">
        <v>237</v>
      </c>
    </row>
    <row r="61" spans="1:6" ht="24" customHeight="1">
      <c r="A61" s="73" t="s">
        <v>237</v>
      </c>
      <c r="B61" s="73" t="s">
        <v>237</v>
      </c>
      <c r="C61" s="73" t="s">
        <v>237</v>
      </c>
      <c r="D61" s="73" t="s">
        <v>237</v>
      </c>
      <c r="E61" s="73" t="s">
        <v>237</v>
      </c>
      <c r="F61" s="73" t="s">
        <v>237</v>
      </c>
    </row>
  </sheetData>
  <mergeCells count="5">
    <mergeCell ref="A1:F1"/>
    <mergeCell ref="A15:F15"/>
    <mergeCell ref="A30:F30"/>
    <mergeCell ref="A50:F50"/>
    <mergeCell ref="A58:F6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0"/>
  <sheetViews>
    <sheetView showGridLines="0" workbookViewId="0">
      <selection activeCell="C11" sqref="C11"/>
    </sheetView>
  </sheetViews>
  <sheetFormatPr defaultRowHeight="14.25"/>
  <cols>
    <col min="1" max="1" width="28" customWidth="1"/>
    <col min="2" max="2" width="31" customWidth="1"/>
    <col min="3" max="3" width="24" customWidth="1"/>
    <col min="4" max="4" width="28" customWidth="1"/>
    <col min="5" max="5" width="42" customWidth="1"/>
    <col min="6" max="6" width="30" customWidth="1"/>
  </cols>
  <sheetData>
    <row r="1" spans="1:6" ht="26.1" customHeight="1">
      <c r="A1" s="74" t="s">
        <v>238</v>
      </c>
      <c r="B1" s="74" t="s">
        <v>238</v>
      </c>
      <c r="C1" s="74" t="s">
        <v>238</v>
      </c>
      <c r="D1" s="74" t="s">
        <v>238</v>
      </c>
      <c r="E1" s="74" t="s">
        <v>238</v>
      </c>
      <c r="F1" s="74" t="s">
        <v>238</v>
      </c>
    </row>
    <row r="2" spans="1:6">
      <c r="A2" s="24"/>
      <c r="B2" s="24"/>
      <c r="C2" s="24"/>
      <c r="D2" s="24"/>
      <c r="E2" s="24"/>
      <c r="F2" s="24"/>
    </row>
    <row r="3" spans="1:6">
      <c r="A3" s="82" t="s">
        <v>239</v>
      </c>
      <c r="B3" s="82" t="s">
        <v>239</v>
      </c>
      <c r="C3" s="82" t="s">
        <v>239</v>
      </c>
      <c r="D3" s="82" t="s">
        <v>239</v>
      </c>
      <c r="E3" s="82" t="s">
        <v>239</v>
      </c>
      <c r="F3" s="82" t="s">
        <v>239</v>
      </c>
    </row>
    <row r="4" spans="1:6">
      <c r="A4" s="82" t="s">
        <v>239</v>
      </c>
      <c r="B4" s="82" t="s">
        <v>239</v>
      </c>
      <c r="C4" s="82" t="s">
        <v>239</v>
      </c>
      <c r="D4" s="82" t="s">
        <v>239</v>
      </c>
      <c r="E4" s="82" t="s">
        <v>239</v>
      </c>
      <c r="F4" s="82" t="s">
        <v>239</v>
      </c>
    </row>
    <row r="5" spans="1:6">
      <c r="A5" s="82" t="s">
        <v>239</v>
      </c>
      <c r="B5" s="82" t="s">
        <v>239</v>
      </c>
      <c r="C5" s="82" t="s">
        <v>239</v>
      </c>
      <c r="D5" s="82" t="s">
        <v>239</v>
      </c>
      <c r="E5" s="82" t="s">
        <v>239</v>
      </c>
      <c r="F5" s="82" t="s">
        <v>239</v>
      </c>
    </row>
    <row r="6" spans="1:6">
      <c r="A6" s="82" t="s">
        <v>239</v>
      </c>
      <c r="B6" s="82" t="s">
        <v>239</v>
      </c>
      <c r="C6" s="82" t="s">
        <v>239</v>
      </c>
      <c r="D6" s="82" t="s">
        <v>239</v>
      </c>
      <c r="E6" s="82" t="s">
        <v>239</v>
      </c>
      <c r="F6" s="82" t="s">
        <v>239</v>
      </c>
    </row>
    <row r="7" spans="1:6">
      <c r="A7" s="24"/>
      <c r="B7" s="24"/>
      <c r="C7" s="24"/>
      <c r="D7" s="24"/>
      <c r="E7" s="24"/>
      <c r="F7" s="24"/>
    </row>
    <row r="8" spans="1:6" ht="20.100000000000001" customHeight="1">
      <c r="A8" s="75" t="s">
        <v>240</v>
      </c>
      <c r="B8" s="75" t="s">
        <v>240</v>
      </c>
      <c r="C8" s="75" t="s">
        <v>240</v>
      </c>
      <c r="D8" s="75" t="s">
        <v>240</v>
      </c>
      <c r="E8" s="75" t="s">
        <v>240</v>
      </c>
      <c r="F8" s="75" t="s">
        <v>240</v>
      </c>
    </row>
    <row r="9" spans="1:6" ht="15" customHeight="1">
      <c r="A9" s="70" t="s">
        <v>241</v>
      </c>
      <c r="B9" s="70" t="s">
        <v>242</v>
      </c>
      <c r="C9" s="70" t="s">
        <v>243</v>
      </c>
      <c r="D9" s="70" t="s">
        <v>244</v>
      </c>
      <c r="E9" s="70" t="s">
        <v>245</v>
      </c>
      <c r="F9" s="70" t="s">
        <v>246</v>
      </c>
    </row>
    <row r="10" spans="1:6" ht="21.6" customHeight="1">
      <c r="A10" s="69" t="s">
        <v>247</v>
      </c>
      <c r="B10" s="69" t="s">
        <v>248</v>
      </c>
      <c r="C10" s="69" t="s">
        <v>249</v>
      </c>
      <c r="D10" s="69" t="s">
        <v>250</v>
      </c>
      <c r="E10" s="69" t="s">
        <v>251</v>
      </c>
      <c r="F10" s="69" t="s">
        <v>252</v>
      </c>
    </row>
    <row r="11" spans="1:6" ht="15" customHeight="1">
      <c r="A11" s="69" t="s">
        <v>253</v>
      </c>
      <c r="B11" s="69" t="s">
        <v>114</v>
      </c>
      <c r="C11" s="69" t="s">
        <v>249</v>
      </c>
      <c r="D11" s="69" t="s">
        <v>254</v>
      </c>
      <c r="E11" s="69" t="s">
        <v>255</v>
      </c>
      <c r="F11" s="69" t="s">
        <v>256</v>
      </c>
    </row>
    <row r="12" spans="1:6" ht="21.6" customHeight="1">
      <c r="A12" s="69" t="s">
        <v>257</v>
      </c>
      <c r="B12" s="69" t="s">
        <v>121</v>
      </c>
      <c r="C12" s="69" t="s">
        <v>249</v>
      </c>
      <c r="D12" s="69" t="s">
        <v>258</v>
      </c>
      <c r="E12" s="69" t="s">
        <v>259</v>
      </c>
      <c r="F12" s="69" t="s">
        <v>260</v>
      </c>
    </row>
    <row r="13" spans="1:6" ht="15" customHeight="1">
      <c r="A13" s="69" t="s">
        <v>261</v>
      </c>
      <c r="B13" s="69" t="s">
        <v>262</v>
      </c>
      <c r="C13" s="69" t="s">
        <v>249</v>
      </c>
      <c r="D13" s="69" t="s">
        <v>263</v>
      </c>
      <c r="E13" s="69" t="s">
        <v>264</v>
      </c>
      <c r="F13" s="69" t="s">
        <v>265</v>
      </c>
    </row>
    <row r="14" spans="1:6" ht="15" customHeight="1">
      <c r="A14" s="69" t="s">
        <v>266</v>
      </c>
      <c r="B14" s="69" t="s">
        <v>267</v>
      </c>
      <c r="C14" s="69" t="s">
        <v>267</v>
      </c>
      <c r="D14" s="69" t="s">
        <v>268</v>
      </c>
      <c r="E14" s="69" t="s">
        <v>269</v>
      </c>
      <c r="F14" s="69" t="s">
        <v>270</v>
      </c>
    </row>
    <row r="15" spans="1:6" ht="15" customHeight="1">
      <c r="A15" s="69" t="s">
        <v>271</v>
      </c>
      <c r="B15" s="69" t="s">
        <v>272</v>
      </c>
      <c r="C15" s="69" t="s">
        <v>249</v>
      </c>
      <c r="D15" s="69" t="s">
        <v>273</v>
      </c>
      <c r="E15" s="69" t="s">
        <v>274</v>
      </c>
      <c r="F15" s="69" t="s">
        <v>275</v>
      </c>
    </row>
    <row r="16" spans="1:6" ht="15" customHeight="1">
      <c r="A16" s="69" t="s">
        <v>276</v>
      </c>
      <c r="B16" s="69" t="s">
        <v>277</v>
      </c>
      <c r="C16" s="69" t="s">
        <v>249</v>
      </c>
      <c r="D16" s="69" t="s">
        <v>278</v>
      </c>
      <c r="E16" s="69" t="s">
        <v>279</v>
      </c>
      <c r="F16" s="69" t="s">
        <v>280</v>
      </c>
    </row>
    <row r="17" spans="1:6" ht="15" customHeight="1">
      <c r="A17" s="69" t="s">
        <v>281</v>
      </c>
      <c r="B17" s="69" t="s">
        <v>282</v>
      </c>
      <c r="C17" s="69" t="s">
        <v>249</v>
      </c>
      <c r="D17" s="69" t="s">
        <v>283</v>
      </c>
      <c r="E17" s="69" t="s">
        <v>284</v>
      </c>
      <c r="F17" s="69" t="s">
        <v>285</v>
      </c>
    </row>
    <row r="18" spans="1:6" ht="15" customHeight="1">
      <c r="A18" s="69" t="s">
        <v>286</v>
      </c>
      <c r="B18" s="69" t="s">
        <v>287</v>
      </c>
      <c r="C18" s="69" t="s">
        <v>288</v>
      </c>
      <c r="D18" s="69" t="s">
        <v>289</v>
      </c>
      <c r="E18" s="69" t="s">
        <v>290</v>
      </c>
      <c r="F18" s="69" t="s">
        <v>291</v>
      </c>
    </row>
    <row r="19" spans="1:6" ht="15" customHeight="1">
      <c r="A19" s="69" t="s">
        <v>292</v>
      </c>
      <c r="B19" s="69" t="s">
        <v>293</v>
      </c>
      <c r="C19" s="69" t="s">
        <v>249</v>
      </c>
      <c r="D19" s="69" t="s">
        <v>283</v>
      </c>
      <c r="E19" s="69" t="s">
        <v>294</v>
      </c>
      <c r="F19" s="69" t="s">
        <v>295</v>
      </c>
    </row>
    <row r="20" spans="1:6" ht="15" customHeight="1">
      <c r="A20" s="69" t="s">
        <v>296</v>
      </c>
      <c r="B20" s="69" t="s">
        <v>81</v>
      </c>
      <c r="C20" s="69" t="s">
        <v>249</v>
      </c>
      <c r="D20" s="69" t="s">
        <v>283</v>
      </c>
      <c r="E20" s="69" t="s">
        <v>297</v>
      </c>
      <c r="F20" s="69" t="s">
        <v>298</v>
      </c>
    </row>
    <row r="21" spans="1:6" ht="21.6" customHeight="1">
      <c r="A21" s="69" t="s">
        <v>299</v>
      </c>
      <c r="B21" s="69" t="s">
        <v>300</v>
      </c>
      <c r="C21" s="69" t="s">
        <v>249</v>
      </c>
      <c r="D21" s="69" t="s">
        <v>301</v>
      </c>
      <c r="E21" s="69" t="s">
        <v>302</v>
      </c>
      <c r="F21" s="69" t="s">
        <v>303</v>
      </c>
    </row>
    <row r="22" spans="1:6" ht="21.6" customHeight="1">
      <c r="A22" s="69" t="s">
        <v>304</v>
      </c>
      <c r="B22" s="69" t="s">
        <v>305</v>
      </c>
      <c r="C22" s="69" t="s">
        <v>288</v>
      </c>
      <c r="D22" s="69" t="s">
        <v>306</v>
      </c>
      <c r="E22" s="69" t="s">
        <v>307</v>
      </c>
      <c r="F22" s="69" t="s">
        <v>308</v>
      </c>
    </row>
    <row r="23" spans="1:6" ht="15" customHeight="1">
      <c r="A23" s="69" t="s">
        <v>309</v>
      </c>
      <c r="B23" s="69" t="s">
        <v>310</v>
      </c>
      <c r="C23" s="69" t="s">
        <v>288</v>
      </c>
      <c r="D23" s="69" t="s">
        <v>311</v>
      </c>
      <c r="E23" s="69" t="s">
        <v>312</v>
      </c>
      <c r="F23" s="69" t="s">
        <v>313</v>
      </c>
    </row>
    <row r="24" spans="1:6" ht="15" customHeight="1">
      <c r="A24" s="69" t="s">
        <v>314</v>
      </c>
      <c r="B24" s="69" t="s">
        <v>315</v>
      </c>
      <c r="C24" s="69" t="s">
        <v>288</v>
      </c>
      <c r="D24" s="69" t="s">
        <v>316</v>
      </c>
      <c r="E24" s="69" t="s">
        <v>317</v>
      </c>
      <c r="F24" s="69" t="s">
        <v>318</v>
      </c>
    </row>
    <row r="25" spans="1:6" ht="15" customHeight="1">
      <c r="A25" s="69" t="s">
        <v>319</v>
      </c>
      <c r="B25" s="69" t="s">
        <v>320</v>
      </c>
      <c r="C25" s="69" t="s">
        <v>249</v>
      </c>
      <c r="D25" s="69" t="s">
        <v>321</v>
      </c>
      <c r="E25" s="69" t="s">
        <v>322</v>
      </c>
      <c r="F25" s="69" t="s">
        <v>323</v>
      </c>
    </row>
    <row r="26" spans="1:6" ht="15" customHeight="1">
      <c r="A26" s="24"/>
      <c r="B26" s="24"/>
      <c r="C26" s="24"/>
      <c r="D26" s="24"/>
      <c r="E26" s="24"/>
      <c r="F26" s="24"/>
    </row>
    <row r="27" spans="1:6" ht="15" customHeight="1">
      <c r="A27" s="75" t="s">
        <v>324</v>
      </c>
      <c r="B27" s="75" t="s">
        <v>324</v>
      </c>
      <c r="C27" s="75" t="s">
        <v>324</v>
      </c>
      <c r="D27" s="75" t="s">
        <v>324</v>
      </c>
      <c r="E27" s="75" t="s">
        <v>324</v>
      </c>
      <c r="F27" s="75" t="s">
        <v>324</v>
      </c>
    </row>
    <row r="28" spans="1:6" ht="15" customHeight="1">
      <c r="A28" s="70" t="s">
        <v>325</v>
      </c>
      <c r="B28" s="70" t="s">
        <v>326</v>
      </c>
      <c r="C28" s="70" t="s">
        <v>327</v>
      </c>
      <c r="D28" s="70" t="s">
        <v>328</v>
      </c>
      <c r="E28" s="70" t="s">
        <v>329</v>
      </c>
      <c r="F28" s="70" t="s">
        <v>330</v>
      </c>
    </row>
    <row r="29" spans="1:6" ht="21.6" customHeight="1">
      <c r="A29" s="69" t="s">
        <v>331</v>
      </c>
      <c r="B29" s="69" t="s">
        <v>332</v>
      </c>
      <c r="C29" s="69" t="s">
        <v>333</v>
      </c>
      <c r="D29" s="69" t="s">
        <v>334</v>
      </c>
      <c r="E29" s="69" t="s">
        <v>335</v>
      </c>
      <c r="F29" s="69" t="s">
        <v>336</v>
      </c>
    </row>
    <row r="30" spans="1:6" ht="15" customHeight="1">
      <c r="A30" s="69" t="s">
        <v>337</v>
      </c>
      <c r="B30" s="69" t="s">
        <v>338</v>
      </c>
      <c r="C30" s="69" t="s">
        <v>339</v>
      </c>
      <c r="D30" s="69" t="s">
        <v>340</v>
      </c>
      <c r="E30" s="69" t="s">
        <v>341</v>
      </c>
      <c r="F30" s="69" t="s">
        <v>342</v>
      </c>
    </row>
    <row r="31" spans="1:6" ht="15" customHeight="1">
      <c r="A31" s="69" t="s">
        <v>343</v>
      </c>
      <c r="B31" s="69" t="s">
        <v>344</v>
      </c>
      <c r="C31" s="69" t="s">
        <v>345</v>
      </c>
      <c r="D31" s="69" t="s">
        <v>346</v>
      </c>
      <c r="E31" s="69" t="s">
        <v>347</v>
      </c>
      <c r="F31" s="69" t="s">
        <v>348</v>
      </c>
    </row>
    <row r="32" spans="1:6" ht="21.6" customHeight="1">
      <c r="A32" s="69" t="s">
        <v>349</v>
      </c>
      <c r="B32" s="69" t="s">
        <v>350</v>
      </c>
      <c r="C32" s="69" t="s">
        <v>351</v>
      </c>
      <c r="D32" s="69" t="s">
        <v>352</v>
      </c>
      <c r="E32" s="69" t="s">
        <v>353</v>
      </c>
      <c r="F32" s="69" t="s">
        <v>354</v>
      </c>
    </row>
    <row r="33" spans="1:6" ht="21.6" customHeight="1">
      <c r="A33" s="69" t="s">
        <v>355</v>
      </c>
      <c r="B33" s="69" t="s">
        <v>356</v>
      </c>
      <c r="C33" s="69" t="s">
        <v>357</v>
      </c>
      <c r="D33" s="69" t="s">
        <v>358</v>
      </c>
      <c r="E33" s="69" t="s">
        <v>359</v>
      </c>
      <c r="F33" s="69" t="s">
        <v>360</v>
      </c>
    </row>
    <row r="34" spans="1:6" ht="15" customHeight="1">
      <c r="A34" s="69" t="s">
        <v>361</v>
      </c>
      <c r="B34" s="69" t="s">
        <v>260</v>
      </c>
      <c r="C34" s="69" t="s">
        <v>362</v>
      </c>
      <c r="D34" s="69" t="s">
        <v>363</v>
      </c>
      <c r="E34" s="69" t="s">
        <v>364</v>
      </c>
      <c r="F34" s="69" t="s">
        <v>365</v>
      </c>
    </row>
    <row r="35" spans="1:6" ht="21.6" customHeight="1">
      <c r="A35" s="69" t="s">
        <v>81</v>
      </c>
      <c r="B35" s="69" t="s">
        <v>298</v>
      </c>
      <c r="C35" s="69" t="s">
        <v>366</v>
      </c>
      <c r="D35" s="69" t="s">
        <v>367</v>
      </c>
      <c r="E35" s="69" t="s">
        <v>368</v>
      </c>
      <c r="F35" s="69" t="s">
        <v>365</v>
      </c>
    </row>
    <row r="36" spans="1:6" ht="21.6" customHeight="1">
      <c r="A36" s="69" t="s">
        <v>369</v>
      </c>
      <c r="B36" s="69" t="s">
        <v>370</v>
      </c>
      <c r="C36" s="69" t="s">
        <v>371</v>
      </c>
      <c r="D36" s="69" t="s">
        <v>372</v>
      </c>
      <c r="E36" s="69" t="s">
        <v>373</v>
      </c>
      <c r="F36" s="69" t="s">
        <v>374</v>
      </c>
    </row>
    <row r="37" spans="1:6" ht="15" customHeight="1">
      <c r="A37" s="24"/>
      <c r="B37" s="24"/>
      <c r="C37" s="24"/>
      <c r="D37" s="24"/>
      <c r="E37" s="24"/>
      <c r="F37" s="24"/>
    </row>
    <row r="38" spans="1:6" ht="15" customHeight="1">
      <c r="A38" s="75" t="s">
        <v>375</v>
      </c>
      <c r="B38" s="75" t="s">
        <v>375</v>
      </c>
      <c r="C38" s="75" t="s">
        <v>375</v>
      </c>
      <c r="D38" s="75" t="s">
        <v>375</v>
      </c>
      <c r="E38" s="75" t="s">
        <v>375</v>
      </c>
      <c r="F38" s="75" t="s">
        <v>375</v>
      </c>
    </row>
    <row r="39" spans="1:6" ht="15" customHeight="1">
      <c r="A39" s="70" t="s">
        <v>330</v>
      </c>
      <c r="B39" s="70" t="s">
        <v>376</v>
      </c>
      <c r="C39" s="70" t="s">
        <v>377</v>
      </c>
      <c r="D39" s="70" t="s">
        <v>378</v>
      </c>
      <c r="E39" s="70" t="s">
        <v>379</v>
      </c>
      <c r="F39" s="70" t="s">
        <v>380</v>
      </c>
    </row>
    <row r="40" spans="1:6" ht="43.15" customHeight="1">
      <c r="A40" s="69" t="s">
        <v>336</v>
      </c>
      <c r="B40" s="69" t="s">
        <v>381</v>
      </c>
      <c r="C40" s="69" t="s">
        <v>382</v>
      </c>
      <c r="D40" s="69" t="s">
        <v>383</v>
      </c>
      <c r="E40" s="69" t="s">
        <v>384</v>
      </c>
      <c r="F40" s="69" t="s">
        <v>385</v>
      </c>
    </row>
    <row r="41" spans="1:6" ht="21.6" customHeight="1">
      <c r="A41" s="69" t="s">
        <v>354</v>
      </c>
      <c r="B41" s="69" t="s">
        <v>386</v>
      </c>
      <c r="C41" s="69" t="s">
        <v>387</v>
      </c>
      <c r="D41" s="69" t="s">
        <v>383</v>
      </c>
      <c r="E41" s="69" t="s">
        <v>388</v>
      </c>
      <c r="F41" s="69" t="s">
        <v>389</v>
      </c>
    </row>
    <row r="42" spans="1:6" ht="32.450000000000003" customHeight="1">
      <c r="A42" s="69" t="s">
        <v>342</v>
      </c>
      <c r="B42" s="69" t="s">
        <v>386</v>
      </c>
      <c r="C42" s="69" t="s">
        <v>390</v>
      </c>
      <c r="D42" s="69" t="s">
        <v>383</v>
      </c>
      <c r="E42" s="69" t="s">
        <v>391</v>
      </c>
      <c r="F42" s="69" t="s">
        <v>392</v>
      </c>
    </row>
    <row r="43" spans="1:6" ht="54" customHeight="1">
      <c r="A43" s="69" t="s">
        <v>360</v>
      </c>
      <c r="B43" s="69" t="s">
        <v>386</v>
      </c>
      <c r="C43" s="69" t="s">
        <v>393</v>
      </c>
      <c r="D43" s="69" t="s">
        <v>383</v>
      </c>
      <c r="E43" s="69" t="s">
        <v>394</v>
      </c>
      <c r="F43" s="69" t="s">
        <v>395</v>
      </c>
    </row>
    <row r="44" spans="1:6" ht="32.450000000000003" customHeight="1">
      <c r="A44" s="69" t="s">
        <v>348</v>
      </c>
      <c r="B44" s="69" t="s">
        <v>396</v>
      </c>
      <c r="C44" s="69" t="s">
        <v>397</v>
      </c>
      <c r="D44" s="69" t="s">
        <v>398</v>
      </c>
      <c r="E44" s="69" t="s">
        <v>399</v>
      </c>
      <c r="F44" s="69" t="s">
        <v>400</v>
      </c>
    </row>
    <row r="45" spans="1:6" ht="15" customHeight="1">
      <c r="A45" s="24"/>
      <c r="B45" s="24"/>
      <c r="C45" s="24"/>
      <c r="D45" s="24"/>
      <c r="E45" s="24"/>
      <c r="F45" s="24"/>
    </row>
    <row r="46" spans="1:6" ht="15" customHeight="1">
      <c r="A46" s="75" t="s">
        <v>401</v>
      </c>
      <c r="B46" s="75" t="s">
        <v>401</v>
      </c>
      <c r="C46" s="75" t="s">
        <v>401</v>
      </c>
      <c r="D46" s="75" t="s">
        <v>401</v>
      </c>
      <c r="E46" s="75" t="s">
        <v>401</v>
      </c>
      <c r="F46" s="75" t="s">
        <v>401</v>
      </c>
    </row>
    <row r="47" spans="1:6" ht="15" customHeight="1">
      <c r="A47" s="70" t="s">
        <v>402</v>
      </c>
      <c r="B47" s="70" t="s">
        <v>403</v>
      </c>
      <c r="C47" s="70" t="s">
        <v>404</v>
      </c>
      <c r="D47" s="70" t="s">
        <v>405</v>
      </c>
      <c r="E47" s="70" t="s">
        <v>406</v>
      </c>
      <c r="F47" s="70" t="s">
        <v>407</v>
      </c>
    </row>
    <row r="48" spans="1:6" ht="15" customHeight="1">
      <c r="A48" s="31" t="s">
        <v>408</v>
      </c>
      <c r="B48" s="50">
        <f>'Residential DCF (Buyer)'!$B$69</f>
        <v>362439.90780429216</v>
      </c>
      <c r="C48" s="67" t="s">
        <v>409</v>
      </c>
      <c r="D48" s="50">
        <f>B48</f>
        <v>362439.90780429216</v>
      </c>
      <c r="E48" s="31" t="str">
        <f>IF(B48&gt;0,"OK","REVIEW")</f>
        <v>OK</v>
      </c>
      <c r="F48" s="31" t="s">
        <v>410</v>
      </c>
    </row>
    <row r="49" spans="1:6" ht="15" customHeight="1">
      <c r="A49" s="31" t="s">
        <v>411</v>
      </c>
      <c r="B49" s="67">
        <f>'Residential DCF (Buyer)'!$B$21</f>
        <v>0.1</v>
      </c>
      <c r="C49" s="67">
        <f>'Residential DCF (Buyer)'!$B$22</f>
        <v>0.06</v>
      </c>
      <c r="D49" s="67">
        <f>B49-C49</f>
        <v>4.0000000000000008E-2</v>
      </c>
      <c r="E49" s="31" t="str">
        <f>IF(B49&gt;C49,"OK","REVIEW")</f>
        <v>OK</v>
      </c>
      <c r="F49" s="31" t="s">
        <v>412</v>
      </c>
    </row>
    <row r="50" spans="1:6" ht="15" customHeight="1">
      <c r="A50" s="31" t="s">
        <v>413</v>
      </c>
      <c r="B50" s="67">
        <f>'Residential DCF (Buyer)'!$B$71</f>
        <v>0.74569143208133692</v>
      </c>
      <c r="C50" s="67">
        <v>0.8</v>
      </c>
      <c r="D50" s="67">
        <f>B50-C50</f>
        <v>-5.430856791866312E-2</v>
      </c>
      <c r="E50" s="31" t="str">
        <f>IF(B50&lt;=C50,"OK","REVIEW")</f>
        <v>OK</v>
      </c>
      <c r="F50" s="31" t="s">
        <v>414</v>
      </c>
    </row>
    <row r="51" spans="1:6" ht="15" customHeight="1">
      <c r="A51" s="31" t="s">
        <v>35</v>
      </c>
      <c r="B51" s="71">
        <f>'Residential DCF (Buyer)'!$B$86</f>
        <v>1.0650578535006217</v>
      </c>
      <c r="C51" s="71">
        <f>'Residential DCF (Buyer)'!$E$29</f>
        <v>1.1000000000000001</v>
      </c>
      <c r="D51" s="67">
        <f>B51-C51</f>
        <v>-3.4942146499378435E-2</v>
      </c>
      <c r="E51" s="31" t="str">
        <f>IF(B51&gt;=C51,"OK","REVIEW")</f>
        <v>REVIEW</v>
      </c>
      <c r="F51" s="31" t="s">
        <v>415</v>
      </c>
    </row>
    <row r="52" spans="1:6" ht="15" customHeight="1">
      <c r="A52" s="31" t="s">
        <v>416</v>
      </c>
      <c r="B52" s="72">
        <f>COUNT('Comparison Approach'!$C$21:$F$21)</f>
        <v>0</v>
      </c>
      <c r="C52" s="72" t="s">
        <v>417</v>
      </c>
      <c r="D52" s="72">
        <f>B52-3</f>
        <v>-3</v>
      </c>
      <c r="E52" s="31" t="str">
        <f>IF(B52&gt;=3,"OK","INPUT NEEDED")</f>
        <v>INPUT NEEDED</v>
      </c>
      <c r="F52" s="31" t="s">
        <v>418</v>
      </c>
    </row>
    <row r="53" spans="1:6" ht="15" customHeight="1">
      <c r="A53" s="31" t="s">
        <v>419</v>
      </c>
      <c r="B53" s="50">
        <f>'Residential DCF (Buyer)'!$B$12</f>
        <v>450000</v>
      </c>
      <c r="C53" s="50">
        <f>'Residential DCF (Buyer)'!$B$69</f>
        <v>362439.90780429216</v>
      </c>
      <c r="D53" s="50">
        <f>C53-B53</f>
        <v>-87560.092195707839</v>
      </c>
      <c r="E53" s="31" t="str">
        <f>IF(B53&lt;=C53,"OK","REVIEW")</f>
        <v>REVIEW</v>
      </c>
      <c r="F53" s="31" t="s">
        <v>420</v>
      </c>
    </row>
    <row r="54" spans="1:6" ht="15" customHeight="1">
      <c r="A54" s="47" t="s">
        <v>421</v>
      </c>
      <c r="B54" s="47"/>
      <c r="C54" s="47" t="s">
        <v>422</v>
      </c>
      <c r="D54" s="47"/>
      <c r="E54" s="47" t="str">
        <f>IF(AND(E48="OK",E49="OK",E50="OK",E51="OK",E53="OK"),"CORE MODEL OK — COMPLETE COMPARABLES","REVIEW CORE ASSUMPTIONS")</f>
        <v>REVIEW CORE ASSUMPTIONS</v>
      </c>
      <c r="F54" s="47" t="s">
        <v>423</v>
      </c>
    </row>
    <row r="55" spans="1:6">
      <c r="A55" s="24"/>
      <c r="B55" s="24"/>
      <c r="C55" s="24"/>
      <c r="D55" s="24"/>
      <c r="E55" s="24"/>
      <c r="F55" s="24"/>
    </row>
    <row r="56" spans="1:6">
      <c r="A56" s="24"/>
      <c r="B56" s="24"/>
      <c r="C56" s="24"/>
      <c r="D56" s="24"/>
      <c r="E56" s="24"/>
      <c r="F56" s="24"/>
    </row>
    <row r="57" spans="1:6" ht="24" customHeight="1">
      <c r="A57" s="81" t="s">
        <v>424</v>
      </c>
      <c r="B57" s="81" t="s">
        <v>424</v>
      </c>
      <c r="C57" s="81" t="s">
        <v>424</v>
      </c>
      <c r="D57" s="81" t="s">
        <v>424</v>
      </c>
      <c r="E57" s="81" t="s">
        <v>424</v>
      </c>
      <c r="F57" s="81" t="s">
        <v>424</v>
      </c>
    </row>
    <row r="58" spans="1:6" ht="24" customHeight="1">
      <c r="A58" s="81" t="s">
        <v>424</v>
      </c>
      <c r="B58" s="81" t="s">
        <v>424</v>
      </c>
      <c r="C58" s="81" t="s">
        <v>424</v>
      </c>
      <c r="D58" s="81" t="s">
        <v>424</v>
      </c>
      <c r="E58" s="81" t="s">
        <v>424</v>
      </c>
      <c r="F58" s="81" t="s">
        <v>424</v>
      </c>
    </row>
    <row r="59" spans="1:6" ht="24" customHeight="1">
      <c r="A59" s="81" t="s">
        <v>424</v>
      </c>
      <c r="B59" s="81" t="s">
        <v>424</v>
      </c>
      <c r="C59" s="81" t="s">
        <v>424</v>
      </c>
      <c r="D59" s="81" t="s">
        <v>424</v>
      </c>
      <c r="E59" s="81" t="s">
        <v>424</v>
      </c>
      <c r="F59" s="81" t="s">
        <v>424</v>
      </c>
    </row>
    <row r="60" spans="1:6" ht="24" customHeight="1">
      <c r="A60" s="81" t="s">
        <v>424</v>
      </c>
      <c r="B60" s="81" t="s">
        <v>424</v>
      </c>
      <c r="C60" s="81" t="s">
        <v>424</v>
      </c>
      <c r="D60" s="81" t="s">
        <v>424</v>
      </c>
      <c r="E60" s="81" t="s">
        <v>424</v>
      </c>
      <c r="F60" s="81" t="s">
        <v>424</v>
      </c>
    </row>
  </sheetData>
  <mergeCells count="7">
    <mergeCell ref="A46:F46"/>
    <mergeCell ref="A57:F60"/>
    <mergeCell ref="A1:F1"/>
    <mergeCell ref="A3:F6"/>
    <mergeCell ref="A8:F8"/>
    <mergeCell ref="A27:F27"/>
    <mergeCell ref="A38:F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Residential DCF (Buyer)</vt:lpstr>
      <vt:lpstr>Comparison Approach</vt:lpstr>
      <vt:lpstr>Sources &amp; Guidance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Kow Shuen Teng, Brandon</dc:creator>
  <cp:lastModifiedBy>Brandon Kow @ Penang</cp:lastModifiedBy>
  <dcterms:created xsi:type="dcterms:W3CDTF">2026-07-17T09:42:37Z</dcterms:created>
  <dcterms:modified xsi:type="dcterms:W3CDTF">2026-07-17T10:18:28Z</dcterms:modified>
</cp:coreProperties>
</file>